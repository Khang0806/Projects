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neca\Sem 4\BDB400 - Business Intelligence 1\Case Study 1\"/>
    </mc:Choice>
  </mc:AlternateContent>
  <xr:revisionPtr revIDLastSave="0" documentId="13_ncr:1_{7CE4B809-CBEB-46AD-9736-F567A286DB05}" xr6:coauthVersionLast="47" xr6:coauthVersionMax="47" xr10:uidLastSave="{00000000-0000-0000-0000-000000000000}"/>
  <bookViews>
    <workbookView xWindow="-120" yWindow="-120" windowWidth="29040" windowHeight="15840" activeTab="4" xr2:uid="{FBB6625D-E0CD-44BF-A7EB-B2D4EC70AC52}"/>
  </bookViews>
  <sheets>
    <sheet name="Chart 1 Data Table" sheetId="1" r:id="rId1"/>
    <sheet name="Milk Comparison" sheetId="2" r:id="rId2"/>
    <sheet name="Distribution" sheetId="8" r:id="rId3"/>
    <sheet name="Predict vs Actual (Expo)" sheetId="4" r:id="rId4"/>
    <sheet name="Predict (Double Expo)" sheetId="5" r:id="rId5"/>
  </sheets>
  <definedNames>
    <definedName name="solver_adj" localSheetId="4" hidden="1">'Predict (Double Expo)'!$B$4:$C$4</definedName>
    <definedName name="solver_cvg" localSheetId="4" hidden="1">0.0001</definedName>
    <definedName name="solver_drv" localSheetId="4" hidden="1">2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'Predict (Double Expo)'!$B$4:$C$4</definedName>
    <definedName name="solver_lhs2" localSheetId="4" hidden="1">'Predict (Double Expo)'!$B$4:$C$4</definedName>
    <definedName name="solver_lhs3" localSheetId="4" hidden="1">'Predict (Double Expo)'!$C$3</definedName>
    <definedName name="solver_lhs4" localSheetId="4" hidden="1">'Predict (Double Expo)'!$C$4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nwt" localSheetId="4" hidden="1">1</definedName>
    <definedName name="solver_opt" localSheetId="4" hidden="1">'Predict (Double Expo)'!$F$45</definedName>
    <definedName name="solver_pre" localSheetId="4" hidden="1">0.000001</definedName>
    <definedName name="solver_rbv" localSheetId="4" hidden="1">2</definedName>
    <definedName name="solver_rel1" localSheetId="4" hidden="1">1</definedName>
    <definedName name="solver_rel2" localSheetId="4" hidden="1">3</definedName>
    <definedName name="solver_rel3" localSheetId="4" hidden="1">1</definedName>
    <definedName name="solver_rel4" localSheetId="4" hidden="1">3</definedName>
    <definedName name="solver_rhs1" localSheetId="4" hidden="1">1</definedName>
    <definedName name="solver_rhs2" localSheetId="4" hidden="1">0</definedName>
    <definedName name="solver_rhs3" localSheetId="4" hidden="1">1</definedName>
    <definedName name="solver_rhs4" localSheetId="4" hidden="1">0</definedName>
    <definedName name="solver_rlx" localSheetId="4" hidden="1">2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2</definedName>
    <definedName name="solver_val" localSheetId="4" hidden="1">0</definedName>
    <definedName name="solver_ver" localSheetId="4" hidden="1">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2" i="8" l="1"/>
  <c r="J73" i="8" a="1"/>
  <c r="J73" i="8" s="1"/>
  <c r="L73" i="8" s="1"/>
  <c r="J74" i="8" a="1"/>
  <c r="J74" i="8" s="1"/>
  <c r="L74" i="8" s="1"/>
  <c r="J75" i="8" a="1"/>
  <c r="J75" i="8" s="1"/>
  <c r="L75" i="8" s="1"/>
  <c r="J76" i="8" a="1"/>
  <c r="J76" i="8" s="1"/>
  <c r="L76" i="8" s="1"/>
  <c r="J77" i="8" a="1"/>
  <c r="J77" i="8" s="1"/>
  <c r="L77" i="8" s="1"/>
  <c r="J72" i="8" a="1"/>
  <c r="J72" i="8" s="1"/>
  <c r="L71" i="8"/>
  <c r="K77" i="8" a="1"/>
  <c r="K77" i="8" s="1"/>
  <c r="K73" i="8" a="1"/>
  <c r="K73" i="8" s="1"/>
  <c r="K74" i="8" a="1"/>
  <c r="K74" i="8" s="1"/>
  <c r="K75" i="8" a="1"/>
  <c r="K75" i="8" s="1"/>
  <c r="K76" i="8" a="1"/>
  <c r="K76" i="8" s="1"/>
  <c r="K72" i="8" a="1"/>
  <c r="K72" i="8" s="1"/>
  <c r="C2" i="8" a="1"/>
  <c r="C2" i="8" s="1"/>
  <c r="C3" i="8" a="1"/>
  <c r="C3" i="8" s="1"/>
  <c r="C4" i="8" a="1"/>
  <c r="C4" i="8" s="1"/>
  <c r="C5" i="8" a="1"/>
  <c r="C5" i="8" s="1"/>
  <c r="C6" i="8" a="1"/>
  <c r="C6" i="8" s="1"/>
  <c r="C7" i="8" a="1"/>
  <c r="C7" i="8" s="1"/>
  <c r="C10" i="8" a="1"/>
  <c r="C10" i="8" s="1"/>
  <c r="C18" i="8" a="1"/>
  <c r="C18" i="8" s="1"/>
  <c r="C19" i="8" a="1"/>
  <c r="C19" i="8" s="1"/>
  <c r="C30" i="8" a="1"/>
  <c r="C30" i="8" s="1"/>
  <c r="C62" i="8" a="1"/>
  <c r="C62" i="8" s="1"/>
  <c r="C134" i="8" a="1"/>
  <c r="C134" i="8" s="1"/>
  <c r="C152" i="8" a="1"/>
  <c r="C152" i="8" s="1"/>
  <c r="A50" i="8"/>
  <c r="C50" i="8" s="1" a="1"/>
  <c r="C50" i="8" s="1"/>
  <c r="A48" i="8"/>
  <c r="C48" i="8" s="1" a="1"/>
  <c r="C48" i="8" s="1"/>
  <c r="A37" i="8"/>
  <c r="A55" i="8" s="1"/>
  <c r="A36" i="8"/>
  <c r="C36" i="8" s="1" a="1"/>
  <c r="C36" i="8" s="1"/>
  <c r="A35" i="8"/>
  <c r="C35" i="8" s="1" a="1"/>
  <c r="C35" i="8" s="1"/>
  <c r="A34" i="8"/>
  <c r="A52" i="8" s="1"/>
  <c r="A30" i="8"/>
  <c r="A24" i="8"/>
  <c r="A42" i="8" s="1"/>
  <c r="A23" i="8"/>
  <c r="A41" i="8" s="1"/>
  <c r="A22" i="8"/>
  <c r="A40" i="8" s="1"/>
  <c r="A21" i="8"/>
  <c r="A39" i="8" s="1"/>
  <c r="A19" i="8"/>
  <c r="A18" i="8"/>
  <c r="A17" i="8"/>
  <c r="C17" i="8" s="1" a="1"/>
  <c r="C17" i="8" s="1"/>
  <c r="A16" i="8"/>
  <c r="C16" i="8" s="1" a="1"/>
  <c r="C16" i="8" s="1"/>
  <c r="A15" i="8"/>
  <c r="C15" i="8" s="1" a="1"/>
  <c r="C15" i="8" s="1"/>
  <c r="A13" i="8"/>
  <c r="A25" i="8" s="1"/>
  <c r="A12" i="8"/>
  <c r="C12" i="8" s="1" a="1"/>
  <c r="C12" i="8" s="1"/>
  <c r="A11" i="8"/>
  <c r="C11" i="8" s="1" a="1"/>
  <c r="C11" i="8" s="1"/>
  <c r="A10" i="8"/>
  <c r="A28" i="8" s="1"/>
  <c r="A9" i="8"/>
  <c r="A27" i="8" s="1"/>
  <c r="A14" i="8"/>
  <c r="A32" i="8" s="1"/>
  <c r="A8" i="8"/>
  <c r="A26" i="8" s="1"/>
  <c r="A44" i="8" s="1"/>
  <c r="A62" i="8" s="1"/>
  <c r="A80" i="8" s="1"/>
  <c r="A98" i="8" s="1"/>
  <c r="A116" i="8" s="1"/>
  <c r="A134" i="8" s="1"/>
  <c r="A152" i="8" s="1"/>
  <c r="E45" i="5"/>
  <c r="C8" i="5"/>
  <c r="C7" i="5"/>
  <c r="D7" i="5"/>
  <c r="E7" i="5"/>
  <c r="D6" i="5"/>
  <c r="C6" i="5"/>
  <c r="C45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7" i="4"/>
  <c r="C43" i="4"/>
  <c r="C44" i="4"/>
  <c r="C9" i="4"/>
  <c r="C10" i="4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8" i="4"/>
  <c r="C7" i="4"/>
  <c r="C76" i="2"/>
  <c r="E58" i="2"/>
  <c r="C72" i="2" s="1"/>
  <c r="E59" i="2"/>
  <c r="C73" i="2" s="1"/>
  <c r="E60" i="2"/>
  <c r="C74" i="2" s="1"/>
  <c r="E61" i="2"/>
  <c r="C75" i="2" s="1"/>
  <c r="E62" i="2"/>
  <c r="E57" i="2"/>
  <c r="C57" i="2"/>
  <c r="C58" i="2"/>
  <c r="C59" i="2"/>
  <c r="C60" i="2"/>
  <c r="C61" i="2"/>
  <c r="C62" i="2"/>
  <c r="A57" i="8" l="1"/>
  <c r="C39" i="8" a="1"/>
  <c r="C39" i="8" s="1"/>
  <c r="C40" i="8" a="1"/>
  <c r="C40" i="8" s="1"/>
  <c r="A58" i="8"/>
  <c r="C41" i="8" a="1"/>
  <c r="C41" i="8" s="1"/>
  <c r="A59" i="8"/>
  <c r="C27" i="8" a="1"/>
  <c r="C27" i="8" s="1"/>
  <c r="A45" i="8"/>
  <c r="C28" i="8" a="1"/>
  <c r="C28" i="8" s="1"/>
  <c r="A46" i="8"/>
  <c r="C42" i="8" a="1"/>
  <c r="C42" i="8" s="1"/>
  <c r="A60" i="8"/>
  <c r="A70" i="8"/>
  <c r="C52" i="8" a="1"/>
  <c r="C52" i="8" s="1"/>
  <c r="A73" i="8"/>
  <c r="C55" i="8" a="1"/>
  <c r="C55" i="8" s="1"/>
  <c r="C25" i="8" a="1"/>
  <c r="C25" i="8" s="1"/>
  <c r="A43" i="8"/>
  <c r="A29" i="8"/>
  <c r="C34" i="8" a="1"/>
  <c r="C34" i="8" s="1"/>
  <c r="C24" i="8" a="1"/>
  <c r="C24" i="8" s="1"/>
  <c r="C14" i="8" a="1"/>
  <c r="C14" i="8" s="1"/>
  <c r="A31" i="8"/>
  <c r="C116" i="8" a="1"/>
  <c r="C116" i="8" s="1"/>
  <c r="C44" i="8" a="1"/>
  <c r="C44" i="8" s="1"/>
  <c r="C23" i="8" a="1"/>
  <c r="C23" i="8" s="1"/>
  <c r="C13" i="8" a="1"/>
  <c r="C13" i="8" s="1"/>
  <c r="A20" i="8"/>
  <c r="A33" i="8"/>
  <c r="C22" i="8" a="1"/>
  <c r="C22" i="8" s="1"/>
  <c r="A68" i="8"/>
  <c r="C32" i="8" a="1"/>
  <c r="C32" i="8" s="1"/>
  <c r="C21" i="8" a="1"/>
  <c r="C21" i="8" s="1"/>
  <c r="C9" i="8" a="1"/>
  <c r="C9" i="8" s="1"/>
  <c r="A66" i="8"/>
  <c r="C80" i="8" a="1"/>
  <c r="C80" i="8" s="1"/>
  <c r="C8" i="8" a="1"/>
  <c r="C8" i="8" s="1"/>
  <c r="A53" i="8"/>
  <c r="A54" i="8"/>
  <c r="C37" i="8" a="1"/>
  <c r="C37" i="8" s="1"/>
  <c r="C98" i="8" a="1"/>
  <c r="C98" i="8" s="1"/>
  <c r="C26" i="8" a="1"/>
  <c r="C26" i="8" s="1"/>
  <c r="F7" i="5"/>
  <c r="D57" i="2"/>
  <c r="F57" i="2"/>
  <c r="D71" i="2" s="1"/>
  <c r="F62" i="2"/>
  <c r="F61" i="2"/>
  <c r="C71" i="2"/>
  <c r="C77" i="2" s="1"/>
  <c r="F59" i="2"/>
  <c r="E63" i="2"/>
  <c r="C63" i="2"/>
  <c r="D63" i="2" s="1"/>
  <c r="A78" i="8" l="1"/>
  <c r="C60" i="8" a="1"/>
  <c r="C60" i="8" s="1"/>
  <c r="C46" i="8" a="1"/>
  <c r="C46" i="8" s="1"/>
  <c r="A64" i="8"/>
  <c r="C45" i="8" a="1"/>
  <c r="C45" i="8" s="1"/>
  <c r="A63" i="8"/>
  <c r="A86" i="8"/>
  <c r="C68" i="8" a="1"/>
  <c r="C68" i="8" s="1"/>
  <c r="C29" i="8" a="1"/>
  <c r="C29" i="8" s="1"/>
  <c r="A47" i="8"/>
  <c r="A61" i="8"/>
  <c r="C43" i="8" a="1"/>
  <c r="C43" i="8" s="1"/>
  <c r="C59" i="8" a="1"/>
  <c r="C59" i="8" s="1"/>
  <c r="A77" i="8"/>
  <c r="C66" i="8" a="1"/>
  <c r="C66" i="8" s="1"/>
  <c r="A84" i="8"/>
  <c r="A49" i="8"/>
  <c r="C31" i="8" a="1"/>
  <c r="C31" i="8" s="1"/>
  <c r="A38" i="8"/>
  <c r="C20" i="8" a="1"/>
  <c r="C20" i="8" s="1"/>
  <c r="C58" i="8" a="1"/>
  <c r="C58" i="8" s="1"/>
  <c r="A76" i="8"/>
  <c r="A91" i="8"/>
  <c r="C73" i="8" a="1"/>
  <c r="C73" i="8" s="1"/>
  <c r="C33" i="8" a="1"/>
  <c r="C33" i="8" s="1"/>
  <c r="A51" i="8"/>
  <c r="C54" i="8" a="1"/>
  <c r="C54" i="8" s="1"/>
  <c r="A72" i="8"/>
  <c r="A71" i="8"/>
  <c r="C53" i="8" a="1"/>
  <c r="C53" i="8" s="1"/>
  <c r="C70" i="8" a="1"/>
  <c r="C70" i="8" s="1"/>
  <c r="A88" i="8"/>
  <c r="C57" i="8" a="1"/>
  <c r="C57" i="8" s="1"/>
  <c r="A75" i="8"/>
  <c r="E8" i="5"/>
  <c r="D58" i="2"/>
  <c r="D59" i="2"/>
  <c r="D60" i="2"/>
  <c r="D73" i="2"/>
  <c r="D61" i="2"/>
  <c r="D75" i="2" s="1"/>
  <c r="F63" i="2"/>
  <c r="F60" i="2"/>
  <c r="D74" i="2" s="1"/>
  <c r="F58" i="2"/>
  <c r="D72" i="2" s="1"/>
  <c r="D62" i="2"/>
  <c r="D76" i="2" s="1"/>
  <c r="A109" i="8" l="1"/>
  <c r="C91" i="8" a="1"/>
  <c r="C91" i="8" s="1"/>
  <c r="C61" i="8" a="1"/>
  <c r="C61" i="8" s="1"/>
  <c r="A79" i="8"/>
  <c r="A93" i="8"/>
  <c r="C75" i="8" a="1"/>
  <c r="C75" i="8" s="1"/>
  <c r="C76" i="8" a="1"/>
  <c r="C76" i="8" s="1"/>
  <c r="A94" i="8"/>
  <c r="C47" i="8" a="1"/>
  <c r="C47" i="8" s="1"/>
  <c r="A65" i="8"/>
  <c r="C88" i="8" a="1"/>
  <c r="C88" i="8" s="1"/>
  <c r="A106" i="8"/>
  <c r="A56" i="8"/>
  <c r="C38" i="8" a="1"/>
  <c r="C38" i="8" s="1"/>
  <c r="A104" i="8"/>
  <c r="C86" i="8" a="1"/>
  <c r="C86" i="8" s="1"/>
  <c r="C63" i="8" a="1"/>
  <c r="C63" i="8" s="1"/>
  <c r="A81" i="8"/>
  <c r="C71" i="8" a="1"/>
  <c r="C71" i="8" s="1"/>
  <c r="A89" i="8"/>
  <c r="A67" i="8"/>
  <c r="C49" i="8" a="1"/>
  <c r="C49" i="8" s="1"/>
  <c r="C72" i="8" a="1"/>
  <c r="C72" i="8" s="1"/>
  <c r="A90" i="8"/>
  <c r="C84" i="8" a="1"/>
  <c r="C84" i="8" s="1"/>
  <c r="A102" i="8"/>
  <c r="A82" i="8"/>
  <c r="C64" i="8" a="1"/>
  <c r="C64" i="8" s="1"/>
  <c r="A69" i="8"/>
  <c r="C51" i="8" a="1"/>
  <c r="C51" i="8" s="1"/>
  <c r="C77" i="8" a="1"/>
  <c r="C77" i="8" s="1"/>
  <c r="A95" i="8"/>
  <c r="C78" i="8" a="1"/>
  <c r="C78" i="8" s="1"/>
  <c r="A96" i="8"/>
  <c r="D8" i="5"/>
  <c r="C9" i="5" s="1"/>
  <c r="A83" i="8" l="1"/>
  <c r="C65" i="8" a="1"/>
  <c r="C65" i="8" s="1"/>
  <c r="A85" i="8"/>
  <c r="C67" i="8" a="1"/>
  <c r="C67" i="8" s="1"/>
  <c r="A113" i="8"/>
  <c r="C95" i="8" a="1"/>
  <c r="C95" i="8" s="1"/>
  <c r="A107" i="8"/>
  <c r="C89" i="8" a="1"/>
  <c r="C89" i="8" s="1"/>
  <c r="A112" i="8"/>
  <c r="C94" i="8" a="1"/>
  <c r="C94" i="8" s="1"/>
  <c r="C81" i="8" a="1"/>
  <c r="C81" i="8" s="1"/>
  <c r="A99" i="8"/>
  <c r="C69" i="8" a="1"/>
  <c r="C69" i="8" s="1"/>
  <c r="A87" i="8"/>
  <c r="A111" i="8"/>
  <c r="C93" i="8" a="1"/>
  <c r="C93" i="8" s="1"/>
  <c r="A114" i="8"/>
  <c r="C96" i="8" a="1"/>
  <c r="C96" i="8" s="1"/>
  <c r="A97" i="8"/>
  <c r="C79" i="8" a="1"/>
  <c r="C79" i="8" s="1"/>
  <c r="A108" i="8"/>
  <c r="C90" i="8" a="1"/>
  <c r="C90" i="8" s="1"/>
  <c r="A124" i="8"/>
  <c r="C106" i="8" a="1"/>
  <c r="C106" i="8" s="1"/>
  <c r="A100" i="8"/>
  <c r="C82" i="8" a="1"/>
  <c r="C82" i="8" s="1"/>
  <c r="A122" i="8"/>
  <c r="C104" i="8" a="1"/>
  <c r="C104" i="8" s="1"/>
  <c r="A120" i="8"/>
  <c r="C102" i="8" a="1"/>
  <c r="C102" i="8" s="1"/>
  <c r="A74" i="8"/>
  <c r="C56" i="8" a="1"/>
  <c r="C56" i="8" s="1"/>
  <c r="A127" i="8"/>
  <c r="C109" i="8" a="1"/>
  <c r="C109" i="8" s="1"/>
  <c r="E9" i="5"/>
  <c r="F9" i="5" s="1"/>
  <c r="D9" i="5"/>
  <c r="C10" i="5" s="1"/>
  <c r="F8" i="5"/>
  <c r="C99" i="8" l="1" a="1"/>
  <c r="C99" i="8" s="1"/>
  <c r="A117" i="8"/>
  <c r="A145" i="8"/>
  <c r="C145" i="8" s="1" a="1"/>
  <c r="C145" i="8" s="1"/>
  <c r="C127" i="8" a="1"/>
  <c r="C127" i="8" s="1"/>
  <c r="C108" i="8" a="1"/>
  <c r="C108" i="8" s="1"/>
  <c r="A126" i="8"/>
  <c r="C112" i="8" a="1"/>
  <c r="C112" i="8" s="1"/>
  <c r="A130" i="8"/>
  <c r="A92" i="8"/>
  <c r="C74" i="8" a="1"/>
  <c r="C74" i="8" s="1"/>
  <c r="C97" i="8" a="1"/>
  <c r="C97" i="8" s="1"/>
  <c r="A115" i="8"/>
  <c r="C107" i="8" a="1"/>
  <c r="C107" i="8" s="1"/>
  <c r="A125" i="8"/>
  <c r="A142" i="8"/>
  <c r="C142" i="8" s="1" a="1"/>
  <c r="C142" i="8" s="1"/>
  <c r="C124" i="8" a="1"/>
  <c r="C124" i="8" s="1"/>
  <c r="A138" i="8"/>
  <c r="C120" i="8" a="1"/>
  <c r="C120" i="8" s="1"/>
  <c r="C114" i="8" a="1"/>
  <c r="C114" i="8" s="1"/>
  <c r="A132" i="8"/>
  <c r="C113" i="8" a="1"/>
  <c r="C113" i="8" s="1"/>
  <c r="A131" i="8"/>
  <c r="A140" i="8"/>
  <c r="C140" i="8" s="1" a="1"/>
  <c r="C140" i="8" s="1"/>
  <c r="C122" i="8" a="1"/>
  <c r="C122" i="8" s="1"/>
  <c r="A129" i="8"/>
  <c r="C111" i="8" a="1"/>
  <c r="C111" i="8" s="1"/>
  <c r="A103" i="8"/>
  <c r="C85" i="8" a="1"/>
  <c r="C85" i="8" s="1"/>
  <c r="C87" i="8" a="1"/>
  <c r="C87" i="8" s="1"/>
  <c r="A105" i="8"/>
  <c r="C100" i="8" a="1"/>
  <c r="C100" i="8" s="1"/>
  <c r="A118" i="8"/>
  <c r="C83" i="8" a="1"/>
  <c r="C83" i="8" s="1"/>
  <c r="A101" i="8"/>
  <c r="E10" i="5"/>
  <c r="D10" i="5"/>
  <c r="C11" i="5" s="1"/>
  <c r="A133" i="8" l="1"/>
  <c r="C115" i="8" a="1"/>
  <c r="C115" i="8" s="1"/>
  <c r="C101" i="8" a="1"/>
  <c r="C101" i="8" s="1"/>
  <c r="A119" i="8"/>
  <c r="C129" i="8" a="1"/>
  <c r="C129" i="8" s="1"/>
  <c r="A147" i="8"/>
  <c r="C147" i="8" s="1" a="1"/>
  <c r="C147" i="8" s="1"/>
  <c r="A110" i="8"/>
  <c r="C92" i="8" a="1"/>
  <c r="C92" i="8" s="1"/>
  <c r="C118" i="8" a="1"/>
  <c r="C118" i="8" s="1"/>
  <c r="A136" i="8"/>
  <c r="C132" i="8" a="1"/>
  <c r="C132" i="8" s="1"/>
  <c r="A150" i="8"/>
  <c r="C150" i="8" s="1" a="1"/>
  <c r="C150" i="8" s="1"/>
  <c r="C130" i="8" a="1"/>
  <c r="C130" i="8" s="1"/>
  <c r="A148" i="8"/>
  <c r="C148" i="8" s="1" a="1"/>
  <c r="C148" i="8" s="1"/>
  <c r="A144" i="8"/>
  <c r="C144" i="8" s="1" a="1"/>
  <c r="C144" i="8" s="1"/>
  <c r="C126" i="8" a="1"/>
  <c r="C126" i="8" s="1"/>
  <c r="C138" i="8" a="1"/>
  <c r="C138" i="8" s="1"/>
  <c r="A156" i="8"/>
  <c r="C156" i="8" s="1" a="1"/>
  <c r="C156" i="8" s="1"/>
  <c r="A149" i="8"/>
  <c r="C149" i="8" s="1" a="1"/>
  <c r="C149" i="8" s="1"/>
  <c r="C131" i="8" a="1"/>
  <c r="C131" i="8" s="1"/>
  <c r="A123" i="8"/>
  <c r="C105" i="8" a="1"/>
  <c r="C105" i="8" s="1"/>
  <c r="C103" i="8" a="1"/>
  <c r="C103" i="8" s="1"/>
  <c r="A121" i="8"/>
  <c r="A143" i="8"/>
  <c r="C143" i="8" s="1" a="1"/>
  <c r="C143" i="8" s="1"/>
  <c r="C125" i="8" a="1"/>
  <c r="C125" i="8" s="1"/>
  <c r="C117" i="8" a="1"/>
  <c r="C117" i="8" s="1"/>
  <c r="A135" i="8"/>
  <c r="F10" i="5"/>
  <c r="E11" i="5"/>
  <c r="A154" i="8" l="1"/>
  <c r="C154" i="8" s="1" a="1"/>
  <c r="C154" i="8" s="1"/>
  <c r="C136" i="8" a="1"/>
  <c r="C136" i="8" s="1"/>
  <c r="A141" i="8"/>
  <c r="C141" i="8" s="1" a="1"/>
  <c r="C141" i="8" s="1"/>
  <c r="C123" i="8" a="1"/>
  <c r="C123" i="8" s="1"/>
  <c r="A128" i="8"/>
  <c r="C110" i="8" a="1"/>
  <c r="C110" i="8" s="1"/>
  <c r="A153" i="8"/>
  <c r="C153" i="8" s="1" a="1"/>
  <c r="C153" i="8" s="1"/>
  <c r="C135" i="8" a="1"/>
  <c r="C135" i="8" s="1"/>
  <c r="C119" i="8" a="1"/>
  <c r="C119" i="8" s="1"/>
  <c r="A137" i="8"/>
  <c r="A139" i="8"/>
  <c r="C121" i="8" a="1"/>
  <c r="C121" i="8" s="1"/>
  <c r="C133" i="8" a="1"/>
  <c r="C133" i="8" s="1"/>
  <c r="A151" i="8"/>
  <c r="C151" i="8" s="1" a="1"/>
  <c r="C151" i="8" s="1"/>
  <c r="D11" i="5"/>
  <c r="F11" i="5"/>
  <c r="A157" i="8" l="1"/>
  <c r="C157" i="8" s="1" a="1"/>
  <c r="C157" i="8" s="1"/>
  <c r="C139" i="8" a="1"/>
  <c r="C139" i="8" s="1"/>
  <c r="A146" i="8"/>
  <c r="C146" i="8" s="1" a="1"/>
  <c r="C146" i="8" s="1"/>
  <c r="C128" i="8" a="1"/>
  <c r="C128" i="8" s="1"/>
  <c r="A155" i="8"/>
  <c r="C155" i="8" s="1" a="1"/>
  <c r="C155" i="8" s="1"/>
  <c r="C137" i="8" a="1"/>
  <c r="C137" i="8" s="1"/>
  <c r="E12" i="5"/>
  <c r="C12" i="5"/>
  <c r="F12" i="5"/>
  <c r="D12" i="5" l="1"/>
  <c r="C13" i="5" s="1"/>
  <c r="E13" i="5"/>
  <c r="F13" i="5" s="1"/>
  <c r="D13" i="5" l="1"/>
  <c r="E14" i="5" s="1"/>
  <c r="F14" i="5"/>
  <c r="C14" i="5" l="1"/>
  <c r="D14" i="5" l="1"/>
  <c r="E15" i="5" s="1"/>
  <c r="F15" i="5" s="1"/>
  <c r="C15" i="5" l="1"/>
  <c r="D15" i="5" l="1"/>
  <c r="E16" i="5" s="1"/>
  <c r="F16" i="5" s="1"/>
  <c r="C16" i="5" l="1"/>
  <c r="D16" i="5" l="1"/>
  <c r="C17" i="5" s="1"/>
  <c r="D17" i="5" l="1"/>
  <c r="E18" i="5" s="1"/>
  <c r="F18" i="5" s="1"/>
  <c r="E17" i="5"/>
  <c r="F17" i="5" s="1"/>
  <c r="C18" i="5" l="1"/>
  <c r="D18" i="5" l="1"/>
  <c r="E19" i="5" s="1"/>
  <c r="F19" i="5" s="1"/>
  <c r="C19" i="5" l="1"/>
  <c r="D19" i="5" l="1"/>
  <c r="C20" i="5" s="1"/>
  <c r="D20" i="5" l="1"/>
  <c r="C21" i="5" s="1"/>
  <c r="E21" i="5"/>
  <c r="F21" i="5" s="1"/>
  <c r="E20" i="5"/>
  <c r="F20" i="5" s="1"/>
  <c r="D21" i="5" l="1"/>
  <c r="E22" i="5" s="1"/>
  <c r="F22" i="5" s="1"/>
  <c r="C22" i="5" l="1"/>
  <c r="D22" i="5" l="1"/>
  <c r="C23" i="5" s="1"/>
  <c r="D23" i="5" l="1"/>
  <c r="C24" i="5" s="1"/>
  <c r="E23" i="5"/>
  <c r="F23" i="5" s="1"/>
  <c r="D24" i="5" l="1"/>
  <c r="C25" i="5" s="1"/>
  <c r="E24" i="5"/>
  <c r="F24" i="5" s="1"/>
  <c r="D25" i="5" l="1"/>
  <c r="C26" i="5" s="1"/>
  <c r="E25" i="5"/>
  <c r="F25" i="5" s="1"/>
  <c r="D26" i="5" l="1"/>
  <c r="E27" i="5" s="1"/>
  <c r="F27" i="5" s="1"/>
  <c r="E26" i="5"/>
  <c r="F26" i="5" s="1"/>
  <c r="C27" i="5" l="1"/>
  <c r="D27" i="5" l="1"/>
  <c r="C28" i="5" s="1"/>
  <c r="D28" i="5" l="1"/>
  <c r="C29" i="5" s="1"/>
  <c r="E28" i="5"/>
  <c r="F28" i="5" s="1"/>
  <c r="D29" i="5" l="1"/>
  <c r="C30" i="5" s="1"/>
  <c r="E29" i="5"/>
  <c r="F29" i="5" s="1"/>
  <c r="D30" i="5" l="1"/>
  <c r="C31" i="5" s="1"/>
  <c r="E30" i="5"/>
  <c r="F30" i="5" s="1"/>
  <c r="D31" i="5" l="1"/>
  <c r="E32" i="5" s="1"/>
  <c r="F32" i="5" s="1"/>
  <c r="E31" i="5"/>
  <c r="F31" i="5" s="1"/>
  <c r="C32" i="5" l="1"/>
  <c r="D32" i="5" l="1"/>
  <c r="C33" i="5" s="1"/>
  <c r="D33" i="5" l="1"/>
  <c r="C34" i="5" s="1"/>
  <c r="E33" i="5"/>
  <c r="F33" i="5" s="1"/>
  <c r="D34" i="5" l="1"/>
  <c r="E35" i="5" s="1"/>
  <c r="F35" i="5" s="1"/>
  <c r="E34" i="5"/>
  <c r="F34" i="5" s="1"/>
  <c r="C35" i="5" l="1"/>
  <c r="D35" i="5" l="1"/>
  <c r="C36" i="5" s="1"/>
  <c r="D36" i="5" l="1"/>
  <c r="E37" i="5" s="1"/>
  <c r="F37" i="5" s="1"/>
  <c r="E36" i="5"/>
  <c r="F36" i="5" s="1"/>
  <c r="C37" i="5" l="1"/>
  <c r="D37" i="5" l="1"/>
  <c r="E38" i="5" s="1"/>
  <c r="F38" i="5" s="1"/>
  <c r="C38" i="5" l="1"/>
  <c r="D38" i="5" l="1"/>
  <c r="E39" i="5" s="1"/>
  <c r="F39" i="5" s="1"/>
  <c r="C39" i="5" l="1"/>
  <c r="D39" i="5" l="1"/>
  <c r="E40" i="5" s="1"/>
  <c r="C40" i="5" l="1"/>
  <c r="D40" i="5" l="1"/>
  <c r="F40" i="5" s="1"/>
  <c r="E41" i="5" l="1"/>
  <c r="F41" i="5" s="1"/>
  <c r="C41" i="5"/>
  <c r="D41" i="5" l="1"/>
  <c r="C42" i="5" s="1"/>
  <c r="D42" i="5" l="1"/>
  <c r="E43" i="5" s="1"/>
  <c r="E42" i="5"/>
  <c r="F42" i="5" s="1"/>
  <c r="C43" i="5" l="1"/>
  <c r="D43" i="5" l="1"/>
  <c r="F43" i="5" s="1"/>
  <c r="E44" i="5" l="1"/>
  <c r="F44" i="5" s="1"/>
  <c r="F45" i="5" s="1"/>
  <c r="C44" i="5"/>
  <c r="D4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<sst xmlns="http://schemas.openxmlformats.org/spreadsheetml/2006/main" count="325" uniqueCount="77">
  <si>
    <t>Year</t>
  </si>
  <si>
    <t>All milk</t>
  </si>
  <si>
    <t>Standard milk 3.25%</t>
  </si>
  <si>
    <t>Partly skimmed milk 2%</t>
  </si>
  <si>
    <t>Partly skimmed milk 1%</t>
  </si>
  <si>
    <t>Skim milk</t>
  </si>
  <si>
    <t>Buttermilk</t>
  </si>
  <si>
    <t>Chocolate and other flavoured milk</t>
  </si>
  <si>
    <t>kilolitres</t>
  </si>
  <si>
    <t>Note ..: not available for a specific reference period</t>
  </si>
  <si>
    <t>Type of Milk</t>
  </si>
  <si>
    <t>All Milk</t>
  </si>
  <si>
    <t>Percentage vs Total 2013</t>
  </si>
  <si>
    <t>Percentage vs Total 2015</t>
  </si>
  <si>
    <t>Change in Share</t>
  </si>
  <si>
    <t>Quantity Change (2013 and 2015)</t>
  </si>
  <si>
    <r>
      <rPr>
        <b/>
        <sz val="13"/>
        <color theme="1"/>
        <rFont val="Times New Roman"/>
        <family val="1"/>
      </rPr>
      <t>Possible reasons:</t>
    </r>
    <r>
      <rPr>
        <sz val="13"/>
        <color theme="1"/>
        <rFont val="Times New Roman"/>
        <family val="1"/>
      </rPr>
      <t xml:space="preserve"> Consumers switching to plant‑based milk (almond, soy, oat, etc.) or general decline in dairy consumption</t>
    </r>
  </si>
  <si>
    <t>Higher‑fat milk → gaining share</t>
  </si>
  <si>
    <t>Low‑fat milk → losing share</t>
  </si>
  <si>
    <t>Flavoured milk → growing</t>
  </si>
  <si>
    <t>Buttermilk → small decline but negligible overall</t>
  </si>
  <si>
    <t>This shows that consumers are not simply drinking less milk; they are shifting between categories.</t>
  </si>
  <si>
    <r>
      <rPr>
        <b/>
        <sz val="13"/>
        <color theme="1"/>
        <rFont val="Times New Roman"/>
        <family val="1"/>
      </rPr>
      <t>5.</t>
    </r>
    <r>
      <rPr>
        <sz val="13"/>
        <color theme="1"/>
        <rFont val="Times New Roman"/>
        <family val="1"/>
      </rPr>
      <t>The decline is not evenly distributed . Even though the total market shrank, the structure of the market changed significantly:</t>
    </r>
  </si>
  <si>
    <r>
      <rPr>
        <b/>
        <sz val="13"/>
        <color theme="1"/>
        <rFont val="Times New Roman"/>
        <family val="1"/>
      </rPr>
      <t>4</t>
    </r>
    <r>
      <rPr>
        <sz val="13"/>
        <color theme="1"/>
        <rFont val="Times New Roman"/>
        <family val="1"/>
      </rPr>
      <t>. The overall milk market is shrinking. Total milk consumption dropped by more than 111,000 L.</t>
    </r>
  </si>
  <si>
    <r>
      <rPr>
        <b/>
        <sz val="13"/>
        <color theme="1"/>
        <rFont val="Times New Roman"/>
        <family val="1"/>
      </rPr>
      <t>3</t>
    </r>
    <r>
      <rPr>
        <sz val="13"/>
        <color theme="1"/>
        <rFont val="Times New Roman"/>
        <family val="1"/>
      </rPr>
      <t xml:space="preserve">. Even total milk is declined but </t>
    </r>
    <r>
      <rPr>
        <b/>
        <sz val="13"/>
        <color theme="1"/>
        <rFont val="Times New Roman"/>
        <family val="1"/>
      </rPr>
      <t>flavoured milk</t>
    </r>
    <r>
      <rPr>
        <sz val="13"/>
        <color theme="1"/>
        <rFont val="Times New Roman"/>
        <family val="1"/>
      </rPr>
      <t xml:space="preserve"> is still rising, showing that there is the potential consumption of children and kid, or a growing trend towards convenient, tasty beverages, brands should marketing those type aggressively</t>
    </r>
  </si>
  <si>
    <r>
      <rPr>
        <b/>
        <sz val="13"/>
        <color theme="1"/>
        <rFont val="Times New Roman"/>
        <family val="1"/>
      </rPr>
      <t>2</t>
    </r>
    <r>
      <rPr>
        <sz val="13"/>
        <color theme="1"/>
        <rFont val="Times New Roman"/>
        <family val="1"/>
      </rPr>
      <t xml:space="preserve">. Consumers are shifting back toward </t>
    </r>
    <r>
      <rPr>
        <b/>
        <sz val="13"/>
        <color theme="1"/>
        <rFont val="Times New Roman"/>
        <family val="1"/>
      </rPr>
      <t>higher‑fat milk</t>
    </r>
    <r>
      <rPr>
        <sz val="13"/>
        <color theme="1"/>
        <rFont val="Times New Roman"/>
        <family val="1"/>
      </rPr>
      <t xml:space="preserve">. In contrast, 3.25% milk and 2% milk both gained market share, even though total milk consumption declined. </t>
    </r>
    <r>
      <rPr>
        <b/>
        <sz val="13"/>
        <color theme="1"/>
        <rFont val="Times New Roman"/>
        <family val="1"/>
      </rPr>
      <t>3.25%</t>
    </r>
    <r>
      <rPr>
        <sz val="13"/>
        <color theme="1"/>
        <rFont val="Times New Roman"/>
        <family val="1"/>
      </rPr>
      <t xml:space="preserve"> milk: </t>
    </r>
    <r>
      <rPr>
        <b/>
        <sz val="13"/>
        <color theme="1"/>
        <rFont val="Times New Roman"/>
        <family val="1"/>
      </rPr>
      <t xml:space="preserve">+0.4 </t>
    </r>
    <r>
      <rPr>
        <sz val="13"/>
        <color theme="1"/>
        <rFont val="Times New Roman"/>
        <family val="1"/>
      </rPr>
      <t xml:space="preserve">percentage point </t>
    </r>
    <r>
      <rPr>
        <b/>
        <sz val="13"/>
        <color theme="1"/>
        <rFont val="Times New Roman"/>
        <family val="1"/>
      </rPr>
      <t>2%</t>
    </r>
    <r>
      <rPr>
        <sz val="13"/>
        <color theme="1"/>
        <rFont val="Times New Roman"/>
        <family val="1"/>
      </rPr>
      <t xml:space="preserve"> milk: </t>
    </r>
    <r>
      <rPr>
        <b/>
        <sz val="13"/>
        <color theme="1"/>
        <rFont val="Times New Roman"/>
        <family val="1"/>
      </rPr>
      <t>+1.6</t>
    </r>
    <r>
      <rPr>
        <sz val="13"/>
        <color theme="1"/>
        <rFont val="Times New Roman"/>
        <family val="1"/>
      </rPr>
      <t xml:space="preserve"> percentage points
--&gt; This indicates that consumers are prioritizing taste, creaminess, and a more “authentic” milk experience rather than focusing solely on reducing fat.</t>
    </r>
  </si>
  <si>
    <r>
      <rPr>
        <b/>
        <sz val="13"/>
        <color theme="1"/>
        <rFont val="Times New Roman"/>
        <family val="1"/>
      </rPr>
      <t>1</t>
    </r>
    <r>
      <rPr>
        <sz val="13"/>
        <color theme="1"/>
        <rFont val="Times New Roman"/>
        <family val="1"/>
      </rPr>
      <t xml:space="preserve">. Customers are moving away from low-fat milk: Both 1% milk and skim milk dropped significantly in volume and in market share.   </t>
    </r>
    <r>
      <rPr>
        <b/>
        <sz val="13"/>
        <color theme="1"/>
        <rFont val="Times New Roman"/>
        <family val="1"/>
      </rPr>
      <t>1% milk:</t>
    </r>
    <r>
      <rPr>
        <sz val="13"/>
        <color theme="1"/>
        <rFont val="Times New Roman"/>
        <family val="1"/>
      </rPr>
      <t xml:space="preserve"> </t>
    </r>
    <r>
      <rPr>
        <b/>
        <sz val="13"/>
        <color theme="1"/>
        <rFont val="Times New Roman"/>
        <family val="1"/>
      </rPr>
      <t>−63,896 L</t>
    </r>
    <r>
      <rPr>
        <sz val="13"/>
        <color theme="1"/>
        <rFont val="Times New Roman"/>
        <family val="1"/>
      </rPr>
      <t xml:space="preserve"> and </t>
    </r>
    <r>
      <rPr>
        <b/>
        <sz val="13"/>
        <color theme="1"/>
        <rFont val="Times New Roman"/>
        <family val="1"/>
      </rPr>
      <t>−1.6</t>
    </r>
    <r>
      <rPr>
        <sz val="13"/>
        <color theme="1"/>
        <rFont val="Times New Roman"/>
        <family val="1"/>
      </rPr>
      <t xml:space="preserve"> percentage points   </t>
    </r>
    <r>
      <rPr>
        <b/>
        <sz val="13"/>
        <color theme="1"/>
        <rFont val="Times New Roman"/>
        <family val="1"/>
      </rPr>
      <t>Skim milk</t>
    </r>
    <r>
      <rPr>
        <sz val="13"/>
        <color theme="1"/>
        <rFont val="Times New Roman"/>
        <family val="1"/>
      </rPr>
      <t xml:space="preserve">: </t>
    </r>
    <r>
      <rPr>
        <b/>
        <sz val="13"/>
        <color theme="1"/>
        <rFont val="Times New Roman"/>
        <family val="1"/>
      </rPr>
      <t xml:space="preserve">−53,504 </t>
    </r>
    <r>
      <rPr>
        <sz val="13"/>
        <color theme="1"/>
        <rFont val="Times New Roman"/>
        <family val="1"/>
      </rPr>
      <t xml:space="preserve">L and </t>
    </r>
    <r>
      <rPr>
        <b/>
        <sz val="13"/>
        <color theme="1"/>
        <rFont val="Times New Roman"/>
        <family val="1"/>
      </rPr>
      <t xml:space="preserve">−1.7 </t>
    </r>
    <r>
      <rPr>
        <sz val="13"/>
        <color theme="1"/>
        <rFont val="Times New Roman"/>
        <family val="1"/>
      </rPr>
      <t>percentage points</t>
    </r>
  </si>
  <si>
    <t>6. Total Insight</t>
  </si>
  <si>
    <r>
      <t>Less interest in low‑fat options</t>
    </r>
    <r>
      <rPr>
        <sz val="13"/>
        <color theme="1"/>
        <rFont val="Times New Roman"/>
        <family val="1"/>
      </rPr>
      <t>, more interest in richer milk</t>
    </r>
  </si>
  <si>
    <r>
      <t>Growing preference for flavoured milk</t>
    </r>
    <r>
      <rPr>
        <sz val="13"/>
        <color theme="1"/>
        <rFont val="Times New Roman"/>
        <family val="1"/>
      </rPr>
      <t>, especially among younger demographics</t>
    </r>
  </si>
  <si>
    <r>
      <t>Traditional dairy is losing ground</t>
    </r>
    <r>
      <rPr>
        <sz val="13"/>
        <color theme="1"/>
        <rFont val="Times New Roman"/>
        <family val="1"/>
      </rPr>
      <t>, likely due to plant‑based alternatives</t>
    </r>
  </si>
  <si>
    <r>
      <t>Taste and experience are becoming more important</t>
    </r>
    <r>
      <rPr>
        <sz val="13"/>
        <color theme="1"/>
        <rFont val="Times New Roman"/>
        <family val="1"/>
      </rPr>
      <t xml:space="preserve"> than fat‑reduction</t>
    </r>
  </si>
  <si>
    <r>
      <t>Changing health perceptions</t>
    </r>
    <r>
      <rPr>
        <sz val="13"/>
        <color theme="1"/>
        <rFont val="Times New Roman"/>
        <family val="1"/>
      </rPr>
      <t xml:space="preserve"> (recent studies show natural milk fat isn’t as “bad” as once believed)</t>
    </r>
  </si>
  <si>
    <t>Forecast</t>
  </si>
  <si>
    <t>Absolute Value of Forecast Error</t>
  </si>
  <si>
    <t>Squared Forecast Error</t>
  </si>
  <si>
    <t>Percentage Error</t>
  </si>
  <si>
    <t>Absolute Percentage Error</t>
  </si>
  <si>
    <t>Actual</t>
  </si>
  <si>
    <t xml:space="preserve">Actual Vs Predict All Milk Sales by Time Series </t>
  </si>
  <si>
    <t>Level (Lt)</t>
  </si>
  <si>
    <t>Trend (Tt)</t>
  </si>
  <si>
    <t>Forecast (Ft)</t>
  </si>
  <si>
    <t>Forecast Error</t>
  </si>
  <si>
    <t>MAPE</t>
  </si>
  <si>
    <t>MAPE AVG</t>
  </si>
  <si>
    <t>Alpha (Adjust Level)</t>
  </si>
  <si>
    <t>Beta (Adjust Trend)</t>
  </si>
  <si>
    <t>If alpha big: model trust latest data (quick reaction), if alpha small: model trust older data (more stable)</t>
  </si>
  <si>
    <t>If beta is big: The model changes its forecast about the trend very quickly when it sees sales fluctuations, if beta is small: The model believes that the current upward/downward trend will remain sustainable.</t>
  </si>
  <si>
    <t>Period</t>
  </si>
  <si>
    <t>Market Characteristics</t>
  </si>
  <si>
    <t>Proposed Strategy</t>
  </si>
  <si>
    <t>Pre - 2010</t>
  </si>
  <si>
    <r>
      <t>Steady Growth Trend:</t>
    </r>
    <r>
      <rPr>
        <sz val="11"/>
        <color theme="1"/>
        <rFont val="Aptos Narrow"/>
        <family val="2"/>
        <scheme val="minor"/>
      </rPr>
      <t xml:space="preserve"> Consistent and predictable upward trajectory in milk demand.</t>
    </r>
  </si>
  <si>
    <r>
      <t>Aggressive Expansion:</t>
    </r>
    <r>
      <rPr>
        <sz val="11"/>
        <color theme="1"/>
        <rFont val="Aptos Narrow"/>
        <family val="2"/>
        <scheme val="minor"/>
      </rPr>
      <t xml:space="preserve"> Heavy investment in infrastructure, manufacturing capacity, and scaling operations.</t>
    </r>
  </si>
  <si>
    <t>Post-2010</t>
  </si>
  <si>
    <r>
      <t>High Volatility &amp; Decline:</t>
    </r>
    <r>
      <rPr>
        <sz val="11"/>
        <color theme="1"/>
        <rFont val="Aptos Narrow"/>
        <family val="2"/>
        <scheme val="minor"/>
      </rPr>
      <t xml:space="preserve"> Significant market fluctuations with an emerging downward trend.</t>
    </r>
  </si>
  <si>
    <r>
      <t>Portfolio Diversification:</t>
    </r>
    <r>
      <rPr>
        <sz val="11"/>
        <color theme="1"/>
        <rFont val="Aptos Narrow"/>
        <family val="2"/>
        <scheme val="minor"/>
      </rPr>
      <t xml:space="preserve"> Shift toward alternative products (flavoured milk, richer milk or plant-based milk) and supply chain optimization to mitigate risk.</t>
    </r>
  </si>
  <si>
    <t>Future Outlook</t>
  </si>
  <si>
    <t>Integrate external market intelligence (consumer behavior, economic indicators) into forecasting models.</t>
  </si>
  <si>
    <r>
      <rPr>
        <b/>
        <sz val="11"/>
        <color theme="1"/>
        <rFont val="Aptos Narrow"/>
        <family val="2"/>
        <scheme val="minor"/>
      </rPr>
      <t>High Uncertainty:</t>
    </r>
    <r>
      <rPr>
        <sz val="11"/>
        <color theme="1"/>
        <rFont val="Aptos Narrow"/>
        <family val="2"/>
        <scheme val="minor"/>
      </rPr>
      <t xml:space="preserve"> Historical data is no longer a reliable sole indicator of future performance.</t>
    </r>
  </si>
  <si>
    <t>Type</t>
  </si>
  <si>
    <t>Sales</t>
  </si>
  <si>
    <t>Grand Total</t>
  </si>
  <si>
    <t>Sum of Sales</t>
  </si>
  <si>
    <t>Total Sum of Sales</t>
  </si>
  <si>
    <t>Total Sum of Sales2</t>
  </si>
  <si>
    <t>Sum of Sales2</t>
  </si>
  <si>
    <t>There is the significant decline in sales in 2010 - 2015, who is the factor?</t>
  </si>
  <si>
    <t>Milk Type</t>
  </si>
  <si>
    <t>Fluctuation (%)</t>
  </si>
  <si>
    <t>2% and 1% milk are the main factors making milk industry substantially decline since 2010</t>
  </si>
  <si>
    <t>Total industry is down 7.4%, and the most loyal customer segment  with original milk (3.25%) is going to consume flavored milk</t>
  </si>
  <si>
    <t>Proposed Solution:</t>
  </si>
  <si>
    <t>Portfolio Optimization (Rationalization): Since the 2% line is in freefall, the business should reduce operating costs for this line and redirect resources to protect the market share of the 3.25% line.</t>
  </si>
  <si>
    <t>Value Repositioning (Repositioning Value): A 5.5% drop in sales could reduce user frequency. The business could switch to smaller packaging or chemical premiumization to maintain profitability despite the decrease in volume.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</si>
</sst>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%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color rgb="FF1F1F1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164" fontId="0" fillId="0" borderId="1" xfId="1" applyNumberFormat="1" applyFont="1" applyBorder="1"/>
    <xf numFmtId="164" fontId="0" fillId="0" borderId="1" xfId="1" applyNumberFormat="1" applyFont="1" applyFill="1" applyBorder="1"/>
    <xf numFmtId="165" fontId="0" fillId="0" borderId="1" xfId="2" applyNumberFormat="1" applyFont="1" applyBorder="1"/>
    <xf numFmtId="0" fontId="0" fillId="0" borderId="1" xfId="0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" fontId="0" fillId="0" borderId="1" xfId="1" applyNumberFormat="1" applyFont="1" applyBorder="1"/>
    <xf numFmtId="2" fontId="0" fillId="0" borderId="1" xfId="1" applyNumberFormat="1" applyFont="1" applyFill="1" applyBorder="1"/>
    <xf numFmtId="166" fontId="0" fillId="0" borderId="1" xfId="2" applyNumberFormat="1" applyFont="1" applyBorder="1"/>
    <xf numFmtId="0" fontId="3" fillId="0" borderId="0" xfId="0" applyFont="1"/>
    <xf numFmtId="0" fontId="5" fillId="0" borderId="0" xfId="0" applyFont="1"/>
    <xf numFmtId="0" fontId="4" fillId="0" borderId="0" xfId="0" applyFont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 applyAlignment="1">
      <alignment horizontal="left"/>
    </xf>
    <xf numFmtId="10" fontId="0" fillId="2" borderId="0" xfId="0" applyNumberFormat="1" applyFill="1"/>
    <xf numFmtId="10" fontId="0" fillId="3" borderId="0" xfId="0" applyNumberFormat="1" applyFill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9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Milk Distribution in 2013 and 2015</a:t>
            </a:r>
          </a:p>
        </c:rich>
      </c:tx>
      <c:layout>
        <c:manualLayout>
          <c:xMode val="edge"/>
          <c:yMode val="edge"/>
          <c:x val="0.28650083512288238"/>
          <c:y val="1.60481427433857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967817943211645"/>
          <c:y val="9.9204269058696407E-2"/>
          <c:w val="0.63542606179909333"/>
          <c:h val="0.721060744326339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'Milk Comparison'!$C$56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'Milk Comparison'!$B$57:$B$62</c:f>
              <c:strCache>
                <c:ptCount val="6"/>
                <c:pt idx="0">
                  <c:v>Standard milk 3.25%</c:v>
                </c:pt>
                <c:pt idx="1">
                  <c:v>Partly skimmed milk 2%</c:v>
                </c:pt>
                <c:pt idx="2">
                  <c:v>Partly skimmed milk 1%</c:v>
                </c:pt>
                <c:pt idx="3">
                  <c:v>Skim milk</c:v>
                </c:pt>
                <c:pt idx="4">
                  <c:v>Buttermilk</c:v>
                </c:pt>
                <c:pt idx="5">
                  <c:v>Chocolate and other flavoured milk</c:v>
                </c:pt>
              </c:strCache>
            </c:strRef>
          </c:cat>
          <c:val>
            <c:numRef>
              <c:f>'Milk Comparison'!$C$57:$C$62</c:f>
              <c:numCache>
                <c:formatCode>_(* #,##0_);_(* \(#,##0\);_(* "-"??_);_(@_)</c:formatCode>
                <c:ptCount val="6"/>
                <c:pt idx="0">
                  <c:v>360104</c:v>
                </c:pt>
                <c:pt idx="1">
                  <c:v>1250968</c:v>
                </c:pt>
                <c:pt idx="2">
                  <c:v>567384</c:v>
                </c:pt>
                <c:pt idx="3">
                  <c:v>254167</c:v>
                </c:pt>
                <c:pt idx="4">
                  <c:v>12967</c:v>
                </c:pt>
                <c:pt idx="5">
                  <c:v>204015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4-4DF4-8FC8-90DC72C6C666}"/>
            </c:ext>
          </c:extLst>
        </c:ser>
        <c:ser>
          <c:idx val="1"/>
          <c:order val="1"/>
          <c:tx>
            <c:strRef>
              <c:f>'Milk Comparison'!$E$56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'Milk Comparison'!$B$57:$B$62</c:f>
              <c:strCache>
                <c:ptCount val="6"/>
                <c:pt idx="0">
                  <c:v>Standard milk 3.25%</c:v>
                </c:pt>
                <c:pt idx="1">
                  <c:v>Partly skimmed milk 2%</c:v>
                </c:pt>
                <c:pt idx="2">
                  <c:v>Partly skimmed milk 1%</c:v>
                </c:pt>
                <c:pt idx="3">
                  <c:v>Skim milk</c:v>
                </c:pt>
                <c:pt idx="4">
                  <c:v>Buttermilk</c:v>
                </c:pt>
                <c:pt idx="5">
                  <c:v>Chocolate and other flavoured milk</c:v>
                </c:pt>
              </c:strCache>
            </c:strRef>
          </c:cat>
          <c:val>
            <c:numRef>
              <c:f>'Milk Comparison'!$E$57:$E$62</c:f>
              <c:numCache>
                <c:formatCode>_(* #,##0_);_(* \(#,##0\);_(* "-"??_);_(@_)</c:formatCode>
                <c:ptCount val="6"/>
                <c:pt idx="0">
                  <c:v>355307</c:v>
                </c:pt>
                <c:pt idx="1">
                  <c:v>1238196</c:v>
                </c:pt>
                <c:pt idx="2">
                  <c:v>503488</c:v>
                </c:pt>
                <c:pt idx="3">
                  <c:v>200663</c:v>
                </c:pt>
                <c:pt idx="4">
                  <c:v>11409</c:v>
                </c:pt>
                <c:pt idx="5">
                  <c:v>228953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4-4DF4-8FC8-90DC72C6C6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4222920"/>
        <c:axId val="864220400"/>
      </c:barChart>
      <c:catAx>
        <c:axId val="864222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Type of Milk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220400"/>
        <c:crosses val="autoZero"/>
        <c:auto val="1"/>
        <c:lblAlgn val="ctr"/>
        <c:lblOffset val="100"/>
        <c:noMultiLvlLbl val="0"/>
      </c:catAx>
      <c:valAx>
        <c:axId val="86422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Kilolitres</a:t>
                </a:r>
              </a:p>
            </c:rich>
          </c:tx>
          <c:layout>
            <c:manualLayout>
              <c:xMode val="edge"/>
              <c:yMode val="edge"/>
              <c:x val="0.57725856000954434"/>
              <c:y val="0.876749842519701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22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'Milk Comparison'!$D$56</c:f>
              <c:strCache>
                <c:ptCount val="1"/>
                <c:pt idx="0">
                  <c:v>Percentage vs Total 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'Milk Comparison'!$B$57:$B$62</c:f>
              <c:strCache>
                <c:ptCount val="6"/>
                <c:pt idx="0">
                  <c:v>Standard milk 3.25%</c:v>
                </c:pt>
                <c:pt idx="1">
                  <c:v>Partly skimmed milk 2%</c:v>
                </c:pt>
                <c:pt idx="2">
                  <c:v>Partly skimmed milk 1%</c:v>
                </c:pt>
                <c:pt idx="3">
                  <c:v>Skim milk</c:v>
                </c:pt>
                <c:pt idx="4">
                  <c:v>Buttermilk</c:v>
                </c:pt>
                <c:pt idx="5">
                  <c:v>Chocolate and other flavoured milk</c:v>
                </c:pt>
              </c:strCache>
            </c:strRef>
          </c:cat>
          <c:val>
            <c:numRef>
              <c:f>'Milk Comparison'!$D$57:$D$62</c:f>
              <c:numCache>
                <c:formatCode>0.0%</c:formatCode>
                <c:ptCount val="6"/>
                <c:pt idx="0">
                  <c:v>0.13590855995516313</c:v>
                </c:pt>
                <c:pt idx="1">
                  <c:v>0.47213377088282971</c:v>
                </c:pt>
                <c:pt idx="2">
                  <c:v>0.21413908865661108</c:v>
                </c:pt>
                <c:pt idx="3">
                  <c:v>9.5926373931208619E-2</c:v>
                </c:pt>
                <c:pt idx="4">
                  <c:v>4.8939370208012142E-3</c:v>
                </c:pt>
                <c:pt idx="5">
                  <c:v>7.6998269553386262E-2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B-4544-81EC-75A71A4E06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4207800"/>
        <c:axId val="864215720"/>
      </c:barChart>
      <c:catAx>
        <c:axId val="864207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215720"/>
        <c:crosses val="autoZero"/>
        <c:auto val="1"/>
        <c:lblAlgn val="ctr"/>
        <c:lblOffset val="100"/>
        <c:noMultiLvlLbl val="0"/>
      </c:catAx>
      <c:valAx>
        <c:axId val="864215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207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'Milk Comparison'!$F$56</c:f>
              <c:strCache>
                <c:ptCount val="1"/>
                <c:pt idx="0">
                  <c:v>Percentage vs Total 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'Milk Comparison'!$B$57:$B$62</c:f>
              <c:strCache>
                <c:ptCount val="6"/>
                <c:pt idx="0">
                  <c:v>Standard milk 3.25%</c:v>
                </c:pt>
                <c:pt idx="1">
                  <c:v>Partly skimmed milk 2%</c:v>
                </c:pt>
                <c:pt idx="2">
                  <c:v>Partly skimmed milk 1%</c:v>
                </c:pt>
                <c:pt idx="3">
                  <c:v>Skim milk</c:v>
                </c:pt>
                <c:pt idx="4">
                  <c:v>Buttermilk</c:v>
                </c:pt>
                <c:pt idx="5">
                  <c:v>Chocolate and other flavoured milk</c:v>
                </c:pt>
              </c:strCache>
            </c:strRef>
          </c:cat>
          <c:val>
            <c:numRef>
              <c:f>'Milk Comparison'!$F$57:$F$62</c:f>
              <c:numCache>
                <c:formatCode>0.0%</c:formatCode>
                <c:ptCount val="6"/>
                <c:pt idx="0">
                  <c:v>0.13999399530972223</c:v>
                </c:pt>
                <c:pt idx="1">
                  <c:v>0.48785980860640754</c:v>
                </c:pt>
                <c:pt idx="2">
                  <c:v>0.19837857602158537</c:v>
                </c:pt>
                <c:pt idx="3">
                  <c:v>7.9062937349488729E-2</c:v>
                </c:pt>
                <c:pt idx="4">
                  <c:v>4.4952435288036011E-3</c:v>
                </c:pt>
                <c:pt idx="5">
                  <c:v>9.0209439183992532E-2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8-421D-8D0E-298D1F1415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1891696"/>
        <c:axId val="871892056"/>
      </c:barChart>
      <c:catAx>
        <c:axId val="871891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892056"/>
        <c:crosses val="autoZero"/>
        <c:auto val="1"/>
        <c:lblAlgn val="ctr"/>
        <c:lblOffset val="100"/>
        <c:noMultiLvlLbl val="0"/>
      </c:catAx>
      <c:valAx>
        <c:axId val="871892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89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 vs Actual All Milk Sales since</a:t>
            </a:r>
            <a:r>
              <a:rPr lang="en-US" baseline="0"/>
              <a:t> 1975 to 2015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'Predict vs Actual (Expo)'!$B$5</c:f>
              <c:strCache>
                <c:ptCount val="1"/>
                <c:pt idx="0">
                  <c:v>Actual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'Predict vs Actual (Expo)'!$A$6:$A$44</c:f>
              <c:numCache>
                <c:formatCode>General</c:formatCode>
                <c:ptCount val="39"/>
                <c:pt idx="0">
                  <c:v>1977</c:v>
                </c:pt>
                <c:pt idx="1">
                  <c:v>1978</c:v>
                </c:pt>
                <c:pt idx="2">
                  <c:v>1979</c:v>
                </c:pt>
                <c:pt idx="3">
                  <c:v>1980</c:v>
                </c:pt>
                <c:pt idx="4">
                  <c:v>1981</c:v>
                </c:pt>
                <c:pt idx="5">
                  <c:v>1982</c:v>
                </c:pt>
                <c:pt idx="6">
                  <c:v>1983</c:v>
                </c:pt>
                <c:pt idx="7">
                  <c:v>1984</c:v>
                </c:pt>
                <c:pt idx="8">
                  <c:v>1985</c:v>
                </c:pt>
                <c:pt idx="9">
                  <c:v>1986</c:v>
                </c:pt>
                <c:pt idx="10">
                  <c:v>1987</c:v>
                </c:pt>
                <c:pt idx="11">
                  <c:v>1988</c:v>
                </c:pt>
                <c:pt idx="12">
                  <c:v>1989</c:v>
                </c:pt>
                <c:pt idx="13">
                  <c:v>1990</c:v>
                </c:pt>
                <c:pt idx="14">
                  <c:v>1991</c:v>
                </c:pt>
                <c:pt idx="15">
                  <c:v>1992</c:v>
                </c:pt>
                <c:pt idx="16">
                  <c:v>1993</c:v>
                </c:pt>
                <c:pt idx="17">
                  <c:v>1994</c:v>
                </c:pt>
                <c:pt idx="18">
                  <c:v>1995</c:v>
                </c:pt>
                <c:pt idx="19">
                  <c:v>1996</c:v>
                </c:pt>
                <c:pt idx="20">
                  <c:v>1997</c:v>
                </c:pt>
                <c:pt idx="21">
                  <c:v>1998</c:v>
                </c:pt>
                <c:pt idx="22">
                  <c:v>1999</c:v>
                </c:pt>
                <c:pt idx="23">
                  <c:v>2000</c:v>
                </c:pt>
                <c:pt idx="24">
                  <c:v>2001</c:v>
                </c:pt>
                <c:pt idx="25">
                  <c:v>2002</c:v>
                </c:pt>
                <c:pt idx="26">
                  <c:v>2003</c:v>
                </c:pt>
                <c:pt idx="27">
                  <c:v>2004</c:v>
                </c:pt>
                <c:pt idx="28">
                  <c:v>2005</c:v>
                </c:pt>
                <c:pt idx="29">
                  <c:v>2006</c:v>
                </c:pt>
                <c:pt idx="30">
                  <c:v>2007</c:v>
                </c:pt>
                <c:pt idx="31">
                  <c:v>2008</c:v>
                </c:pt>
                <c:pt idx="32">
                  <c:v>2009</c:v>
                </c:pt>
                <c:pt idx="33">
                  <c:v>2010</c:v>
                </c:pt>
                <c:pt idx="34">
                  <c:v>2011</c:v>
                </c:pt>
                <c:pt idx="35">
                  <c:v>2012</c:v>
                </c:pt>
                <c:pt idx="36">
                  <c:v>2013</c:v>
                </c:pt>
                <c:pt idx="37">
                  <c:v>2014</c:v>
                </c:pt>
                <c:pt idx="38">
                  <c:v>2015</c:v>
                </c:pt>
              </c:numCache>
            </c:numRef>
          </c:xVal>
          <c:yVal>
            <c:numRef>
              <c:f>'Predict vs Actual (Expo)'!$B$6:$B$44</c:f>
              <c:numCache>
                <c:formatCode>#,##0</c:formatCode>
                <c:ptCount val="39"/>
                <c:pt idx="0">
                  <c:v>2343180</c:v>
                </c:pt>
                <c:pt idx="1">
                  <c:v>2402685</c:v>
                </c:pt>
                <c:pt idx="2">
                  <c:v>2489372</c:v>
                </c:pt>
                <c:pt idx="3">
                  <c:v>2521107</c:v>
                </c:pt>
                <c:pt idx="4">
                  <c:v>2533721</c:v>
                </c:pt>
                <c:pt idx="5">
                  <c:v>2554326</c:v>
                </c:pt>
                <c:pt idx="6">
                  <c:v>2553802</c:v>
                </c:pt>
                <c:pt idx="7">
                  <c:v>2562164</c:v>
                </c:pt>
                <c:pt idx="8">
                  <c:v>2555452</c:v>
                </c:pt>
                <c:pt idx="9">
                  <c:v>2607778</c:v>
                </c:pt>
                <c:pt idx="10">
                  <c:v>2668368</c:v>
                </c:pt>
                <c:pt idx="11">
                  <c:v>2664824</c:v>
                </c:pt>
                <c:pt idx="12">
                  <c:v>2629448</c:v>
                </c:pt>
                <c:pt idx="13">
                  <c:v>2643558</c:v>
                </c:pt>
                <c:pt idx="14">
                  <c:v>2649943</c:v>
                </c:pt>
                <c:pt idx="15">
                  <c:v>2626795</c:v>
                </c:pt>
                <c:pt idx="16">
                  <c:v>2578540</c:v>
                </c:pt>
                <c:pt idx="17">
                  <c:v>2633063</c:v>
                </c:pt>
                <c:pt idx="18">
                  <c:v>2646555</c:v>
                </c:pt>
                <c:pt idx="19">
                  <c:v>2666459</c:v>
                </c:pt>
                <c:pt idx="20">
                  <c:v>2665829</c:v>
                </c:pt>
                <c:pt idx="21">
                  <c:v>2676966</c:v>
                </c:pt>
                <c:pt idx="22">
                  <c:v>2667219</c:v>
                </c:pt>
                <c:pt idx="23">
                  <c:v>2706966</c:v>
                </c:pt>
                <c:pt idx="24">
                  <c:v>2704883</c:v>
                </c:pt>
                <c:pt idx="25">
                  <c:v>2683417</c:v>
                </c:pt>
                <c:pt idx="26">
                  <c:v>2698258</c:v>
                </c:pt>
                <c:pt idx="27">
                  <c:v>2733795</c:v>
                </c:pt>
                <c:pt idx="28">
                  <c:v>2707350</c:v>
                </c:pt>
                <c:pt idx="29">
                  <c:v>2721462</c:v>
                </c:pt>
                <c:pt idx="30">
                  <c:v>2733811</c:v>
                </c:pt>
                <c:pt idx="31">
                  <c:v>2729811</c:v>
                </c:pt>
                <c:pt idx="32">
                  <c:v>2741133</c:v>
                </c:pt>
                <c:pt idx="33">
                  <c:v>2658344</c:v>
                </c:pt>
                <c:pt idx="34">
                  <c:v>2678259</c:v>
                </c:pt>
                <c:pt idx="35">
                  <c:v>2663413</c:v>
                </c:pt>
                <c:pt idx="36">
                  <c:v>2649605</c:v>
                </c:pt>
                <c:pt idx="37">
                  <c:v>2602700</c:v>
                </c:pt>
                <c:pt idx="38">
                  <c:v>2538016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54-46C6-8213-E71BBB5AF3C4}"/>
            </c:ext>
          </c:extLst>
        </c:ser>
        <c:ser>
          <c:idx val="1"/>
          <c:order val="1"/>
          <c:tx>
            <c:strRef>
              <c:f>'Predict vs Actual (Expo)'!$C$5</c:f>
              <c:strCache>
                <c:ptCount val="1"/>
                <c:pt idx="0">
                  <c:v>Forecast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'Predict vs Actual (Expo)'!$A$6:$A$44</c:f>
              <c:numCache>
                <c:formatCode>General</c:formatCode>
                <c:ptCount val="39"/>
                <c:pt idx="0">
                  <c:v>1977</c:v>
                </c:pt>
                <c:pt idx="1">
                  <c:v>1978</c:v>
                </c:pt>
                <c:pt idx="2">
                  <c:v>1979</c:v>
                </c:pt>
                <c:pt idx="3">
                  <c:v>1980</c:v>
                </c:pt>
                <c:pt idx="4">
                  <c:v>1981</c:v>
                </c:pt>
                <c:pt idx="5">
                  <c:v>1982</c:v>
                </c:pt>
                <c:pt idx="6">
                  <c:v>1983</c:v>
                </c:pt>
                <c:pt idx="7">
                  <c:v>1984</c:v>
                </c:pt>
                <c:pt idx="8">
                  <c:v>1985</c:v>
                </c:pt>
                <c:pt idx="9">
                  <c:v>1986</c:v>
                </c:pt>
                <c:pt idx="10">
                  <c:v>1987</c:v>
                </c:pt>
                <c:pt idx="11">
                  <c:v>1988</c:v>
                </c:pt>
                <c:pt idx="12">
                  <c:v>1989</c:v>
                </c:pt>
                <c:pt idx="13">
                  <c:v>1990</c:v>
                </c:pt>
                <c:pt idx="14">
                  <c:v>1991</c:v>
                </c:pt>
                <c:pt idx="15">
                  <c:v>1992</c:v>
                </c:pt>
                <c:pt idx="16">
                  <c:v>1993</c:v>
                </c:pt>
                <c:pt idx="17">
                  <c:v>1994</c:v>
                </c:pt>
                <c:pt idx="18">
                  <c:v>1995</c:v>
                </c:pt>
                <c:pt idx="19">
                  <c:v>1996</c:v>
                </c:pt>
                <c:pt idx="20">
                  <c:v>1997</c:v>
                </c:pt>
                <c:pt idx="21">
                  <c:v>1998</c:v>
                </c:pt>
                <c:pt idx="22">
                  <c:v>1999</c:v>
                </c:pt>
                <c:pt idx="23">
                  <c:v>2000</c:v>
                </c:pt>
                <c:pt idx="24">
                  <c:v>2001</c:v>
                </c:pt>
                <c:pt idx="25">
                  <c:v>2002</c:v>
                </c:pt>
                <c:pt idx="26">
                  <c:v>2003</c:v>
                </c:pt>
                <c:pt idx="27">
                  <c:v>2004</c:v>
                </c:pt>
                <c:pt idx="28">
                  <c:v>2005</c:v>
                </c:pt>
                <c:pt idx="29">
                  <c:v>2006</c:v>
                </c:pt>
                <c:pt idx="30">
                  <c:v>2007</c:v>
                </c:pt>
                <c:pt idx="31">
                  <c:v>2008</c:v>
                </c:pt>
                <c:pt idx="32">
                  <c:v>2009</c:v>
                </c:pt>
                <c:pt idx="33">
                  <c:v>2010</c:v>
                </c:pt>
                <c:pt idx="34">
                  <c:v>2011</c:v>
                </c:pt>
                <c:pt idx="35">
                  <c:v>2012</c:v>
                </c:pt>
                <c:pt idx="36">
                  <c:v>2013</c:v>
                </c:pt>
                <c:pt idx="37">
                  <c:v>2014</c:v>
                </c:pt>
                <c:pt idx="38">
                  <c:v>2015</c:v>
                </c:pt>
              </c:numCache>
            </c:numRef>
          </c:xVal>
          <c:yVal>
            <c:numRef>
              <c:f>'Predict vs Actual (Expo)'!$C$6:$C$44</c:f>
              <c:numCache>
                <c:formatCode>#,##0</c:formatCode>
                <c:ptCount val="39"/>
                <c:pt idx="1">
                  <c:v>2343180</c:v>
                </c:pt>
                <c:pt idx="2" formatCode="General">
                  <c:v>2355081</c:v>
                </c:pt>
                <c:pt idx="3" formatCode="General">
                  <c:v>2381939.2000000002</c:v>
                </c:pt>
                <c:pt idx="4" formatCode="General">
                  <c:v>2409772.7600000002</c:v>
                </c:pt>
                <c:pt idx="5" formatCode="General">
                  <c:v>2434562.4080000003</c:v>
                </c:pt>
                <c:pt idx="6" formatCode="General">
                  <c:v>2458515.1264000004</c:v>
                </c:pt>
                <c:pt idx="7" formatCode="General">
                  <c:v>2477572.5011200006</c:v>
                </c:pt>
                <c:pt idx="8" formatCode="General">
                  <c:v>2494490.8008960006</c:v>
                </c:pt>
                <c:pt idx="9" formatCode="General">
                  <c:v>2506683.0407168004</c:v>
                </c:pt>
                <c:pt idx="10" formatCode="General">
                  <c:v>2526902.0325734406</c:v>
                </c:pt>
                <c:pt idx="11" formatCode="General">
                  <c:v>2555195.2260587527</c:v>
                </c:pt>
                <c:pt idx="12" formatCode="General">
                  <c:v>2577120.980847002</c:v>
                </c:pt>
                <c:pt idx="13" formatCode="General">
                  <c:v>2587586.3846776015</c:v>
                </c:pt>
                <c:pt idx="14" formatCode="General">
                  <c:v>2598780.7077420815</c:v>
                </c:pt>
                <c:pt idx="15" formatCode="General">
                  <c:v>2609013.1661936655</c:v>
                </c:pt>
                <c:pt idx="16" formatCode="General">
                  <c:v>2612569.5329549322</c:v>
                </c:pt>
                <c:pt idx="17" formatCode="General">
                  <c:v>2605763.6263639461</c:v>
                </c:pt>
                <c:pt idx="18" formatCode="General">
                  <c:v>2611223.5010911571</c:v>
                </c:pt>
                <c:pt idx="19" formatCode="General">
                  <c:v>2618289.8008729257</c:v>
                </c:pt>
                <c:pt idx="20" formatCode="General">
                  <c:v>2627923.6406983407</c:v>
                </c:pt>
                <c:pt idx="21" formatCode="General">
                  <c:v>2635504.7125586728</c:v>
                </c:pt>
                <c:pt idx="22" formatCode="General">
                  <c:v>2643796.9700469384</c:v>
                </c:pt>
                <c:pt idx="23" formatCode="General">
                  <c:v>2648481.3760375511</c:v>
                </c:pt>
                <c:pt idx="24" formatCode="General">
                  <c:v>2660178.3008300411</c:v>
                </c:pt>
                <c:pt idx="25" formatCode="General">
                  <c:v>2669119.2406640332</c:v>
                </c:pt>
                <c:pt idx="26" formatCode="General">
                  <c:v>2671978.7925312268</c:v>
                </c:pt>
                <c:pt idx="27" formatCode="General">
                  <c:v>2677234.6340249814</c:v>
                </c:pt>
                <c:pt idx="28" formatCode="General">
                  <c:v>2688546.7072199853</c:v>
                </c:pt>
                <c:pt idx="29" formatCode="General">
                  <c:v>2692307.3657759884</c:v>
                </c:pt>
                <c:pt idx="30" formatCode="General">
                  <c:v>2698138.2926207907</c:v>
                </c:pt>
                <c:pt idx="31" formatCode="General">
                  <c:v>2705272.8340966329</c:v>
                </c:pt>
                <c:pt idx="32" formatCode="General">
                  <c:v>2710180.4672773066</c:v>
                </c:pt>
                <c:pt idx="33" formatCode="General">
                  <c:v>2716370.9738218454</c:v>
                </c:pt>
                <c:pt idx="34" formatCode="General">
                  <c:v>2704765.5790574765</c:v>
                </c:pt>
                <c:pt idx="35" formatCode="General">
                  <c:v>2699464.2632459812</c:v>
                </c:pt>
                <c:pt idx="36" formatCode="General">
                  <c:v>2692254.0105967852</c:v>
                </c:pt>
                <c:pt idx="37" formatCode="General">
                  <c:v>2683724.2084774282</c:v>
                </c:pt>
                <c:pt idx="38" formatCode="General">
                  <c:v>2667519.3667819425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54-46C6-8213-E71BBB5AF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263880"/>
        <c:axId val="1020266400"/>
      </c:scatterChart>
      <c:valAx>
        <c:axId val="1020263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66400"/>
        <c:crosses val="autoZero"/>
        <c:crossBetween val="midCat"/>
      </c:valAx>
      <c:valAx>
        <c:axId val="10202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Kilolitres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63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</a:t>
            </a:r>
            <a:r>
              <a:rPr lang="en-US" baseline="0"/>
              <a:t> vs Actual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'Predict (Double Expo)'!$B$5</c:f>
              <c:strCache>
                <c:ptCount val="1"/>
                <c:pt idx="0">
                  <c:v>Actual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'Predict (Double Expo)'!$A$6:$A$44</c:f>
              <c:numCache>
                <c:formatCode>General</c:formatCode>
                <c:ptCount val="39"/>
                <c:pt idx="0">
                  <c:v>1977</c:v>
                </c:pt>
                <c:pt idx="1">
                  <c:v>1978</c:v>
                </c:pt>
                <c:pt idx="2">
                  <c:v>1979</c:v>
                </c:pt>
                <c:pt idx="3">
                  <c:v>1980</c:v>
                </c:pt>
                <c:pt idx="4">
                  <c:v>1981</c:v>
                </c:pt>
                <c:pt idx="5">
                  <c:v>1982</c:v>
                </c:pt>
                <c:pt idx="6">
                  <c:v>1983</c:v>
                </c:pt>
                <c:pt idx="7">
                  <c:v>1984</c:v>
                </c:pt>
                <c:pt idx="8">
                  <c:v>1985</c:v>
                </c:pt>
                <c:pt idx="9">
                  <c:v>1986</c:v>
                </c:pt>
                <c:pt idx="10">
                  <c:v>1987</c:v>
                </c:pt>
                <c:pt idx="11">
                  <c:v>1988</c:v>
                </c:pt>
                <c:pt idx="12">
                  <c:v>1989</c:v>
                </c:pt>
                <c:pt idx="13">
                  <c:v>1990</c:v>
                </c:pt>
                <c:pt idx="14">
                  <c:v>1991</c:v>
                </c:pt>
                <c:pt idx="15">
                  <c:v>1992</c:v>
                </c:pt>
                <c:pt idx="16">
                  <c:v>1993</c:v>
                </c:pt>
                <c:pt idx="17">
                  <c:v>1994</c:v>
                </c:pt>
                <c:pt idx="18">
                  <c:v>1995</c:v>
                </c:pt>
                <c:pt idx="19">
                  <c:v>1996</c:v>
                </c:pt>
                <c:pt idx="20">
                  <c:v>1997</c:v>
                </c:pt>
                <c:pt idx="21">
                  <c:v>1998</c:v>
                </c:pt>
                <c:pt idx="22">
                  <c:v>1999</c:v>
                </c:pt>
                <c:pt idx="23">
                  <c:v>2000</c:v>
                </c:pt>
                <c:pt idx="24">
                  <c:v>2001</c:v>
                </c:pt>
                <c:pt idx="25">
                  <c:v>2002</c:v>
                </c:pt>
                <c:pt idx="26">
                  <c:v>2003</c:v>
                </c:pt>
                <c:pt idx="27">
                  <c:v>2004</c:v>
                </c:pt>
                <c:pt idx="28">
                  <c:v>2005</c:v>
                </c:pt>
                <c:pt idx="29">
                  <c:v>2006</c:v>
                </c:pt>
                <c:pt idx="30">
                  <c:v>2007</c:v>
                </c:pt>
                <c:pt idx="31">
                  <c:v>2008</c:v>
                </c:pt>
                <c:pt idx="32">
                  <c:v>2009</c:v>
                </c:pt>
                <c:pt idx="33">
                  <c:v>2010</c:v>
                </c:pt>
                <c:pt idx="34">
                  <c:v>2011</c:v>
                </c:pt>
                <c:pt idx="35">
                  <c:v>2012</c:v>
                </c:pt>
                <c:pt idx="36">
                  <c:v>2013</c:v>
                </c:pt>
                <c:pt idx="37">
                  <c:v>2014</c:v>
                </c:pt>
                <c:pt idx="38">
                  <c:v>2015</c:v>
                </c:pt>
              </c:numCache>
            </c:numRef>
          </c:xVal>
          <c:yVal>
            <c:numRef>
              <c:f>'Predict (Double Expo)'!$B$6:$B$44</c:f>
              <c:numCache>
                <c:formatCode>#,##0</c:formatCode>
                <c:ptCount val="39"/>
                <c:pt idx="0">
                  <c:v>2343180</c:v>
                </c:pt>
                <c:pt idx="1">
                  <c:v>2402685</c:v>
                </c:pt>
                <c:pt idx="2">
                  <c:v>2489372</c:v>
                </c:pt>
                <c:pt idx="3">
                  <c:v>2521107</c:v>
                </c:pt>
                <c:pt idx="4">
                  <c:v>2533721</c:v>
                </c:pt>
                <c:pt idx="5">
                  <c:v>2554326</c:v>
                </c:pt>
                <c:pt idx="6">
                  <c:v>2553802</c:v>
                </c:pt>
                <c:pt idx="7">
                  <c:v>2562164</c:v>
                </c:pt>
                <c:pt idx="8">
                  <c:v>2555452</c:v>
                </c:pt>
                <c:pt idx="9">
                  <c:v>2607778</c:v>
                </c:pt>
                <c:pt idx="10">
                  <c:v>2668368</c:v>
                </c:pt>
                <c:pt idx="11">
                  <c:v>2664824</c:v>
                </c:pt>
                <c:pt idx="12">
                  <c:v>2629448</c:v>
                </c:pt>
                <c:pt idx="13">
                  <c:v>2643558</c:v>
                </c:pt>
                <c:pt idx="14">
                  <c:v>2649943</c:v>
                </c:pt>
                <c:pt idx="15">
                  <c:v>2626795</c:v>
                </c:pt>
                <c:pt idx="16">
                  <c:v>2578540</c:v>
                </c:pt>
                <c:pt idx="17">
                  <c:v>2633063</c:v>
                </c:pt>
                <c:pt idx="18">
                  <c:v>2646555</c:v>
                </c:pt>
                <c:pt idx="19">
                  <c:v>2666459</c:v>
                </c:pt>
                <c:pt idx="20">
                  <c:v>2665829</c:v>
                </c:pt>
                <c:pt idx="21">
                  <c:v>2676966</c:v>
                </c:pt>
                <c:pt idx="22">
                  <c:v>2667219</c:v>
                </c:pt>
                <c:pt idx="23">
                  <c:v>2706966</c:v>
                </c:pt>
                <c:pt idx="24">
                  <c:v>2704883</c:v>
                </c:pt>
                <c:pt idx="25">
                  <c:v>2683417</c:v>
                </c:pt>
                <c:pt idx="26">
                  <c:v>2698258</c:v>
                </c:pt>
                <c:pt idx="27">
                  <c:v>2733795</c:v>
                </c:pt>
                <c:pt idx="28">
                  <c:v>2707350</c:v>
                </c:pt>
                <c:pt idx="29">
                  <c:v>2721462</c:v>
                </c:pt>
                <c:pt idx="30">
                  <c:v>2733811</c:v>
                </c:pt>
                <c:pt idx="31">
                  <c:v>2729811</c:v>
                </c:pt>
                <c:pt idx="32">
                  <c:v>2741133</c:v>
                </c:pt>
                <c:pt idx="33">
                  <c:v>2658344</c:v>
                </c:pt>
                <c:pt idx="34">
                  <c:v>2678259</c:v>
                </c:pt>
                <c:pt idx="35">
                  <c:v>2663413</c:v>
                </c:pt>
                <c:pt idx="36">
                  <c:v>2649605</c:v>
                </c:pt>
                <c:pt idx="37">
                  <c:v>2602700</c:v>
                </c:pt>
                <c:pt idx="38">
                  <c:v>2538016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9-45E7-9B8E-9D56D0B3E688}"/>
            </c:ext>
          </c:extLst>
        </c:ser>
        <c:ser>
          <c:idx val="1"/>
          <c:order val="1"/>
          <c:tx>
            <c:strRef>
              <c:f>'Predict (Double Expo)'!$E$5</c:f>
              <c:strCache>
                <c:ptCount val="1"/>
                <c:pt idx="0">
                  <c:v>Forecast (Ft)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'Predict (Double Expo)'!$A$6:$A$44</c:f>
              <c:numCache>
                <c:formatCode>General</c:formatCode>
                <c:ptCount val="39"/>
                <c:pt idx="0">
                  <c:v>1977</c:v>
                </c:pt>
                <c:pt idx="1">
                  <c:v>1978</c:v>
                </c:pt>
                <c:pt idx="2">
                  <c:v>1979</c:v>
                </c:pt>
                <c:pt idx="3">
                  <c:v>1980</c:v>
                </c:pt>
                <c:pt idx="4">
                  <c:v>1981</c:v>
                </c:pt>
                <c:pt idx="5">
                  <c:v>1982</c:v>
                </c:pt>
                <c:pt idx="6">
                  <c:v>1983</c:v>
                </c:pt>
                <c:pt idx="7">
                  <c:v>1984</c:v>
                </c:pt>
                <c:pt idx="8">
                  <c:v>1985</c:v>
                </c:pt>
                <c:pt idx="9">
                  <c:v>1986</c:v>
                </c:pt>
                <c:pt idx="10">
                  <c:v>1987</c:v>
                </c:pt>
                <c:pt idx="11">
                  <c:v>1988</c:v>
                </c:pt>
                <c:pt idx="12">
                  <c:v>1989</c:v>
                </c:pt>
                <c:pt idx="13">
                  <c:v>1990</c:v>
                </c:pt>
                <c:pt idx="14">
                  <c:v>1991</c:v>
                </c:pt>
                <c:pt idx="15">
                  <c:v>1992</c:v>
                </c:pt>
                <c:pt idx="16">
                  <c:v>1993</c:v>
                </c:pt>
                <c:pt idx="17">
                  <c:v>1994</c:v>
                </c:pt>
                <c:pt idx="18">
                  <c:v>1995</c:v>
                </c:pt>
                <c:pt idx="19">
                  <c:v>1996</c:v>
                </c:pt>
                <c:pt idx="20">
                  <c:v>1997</c:v>
                </c:pt>
                <c:pt idx="21">
                  <c:v>1998</c:v>
                </c:pt>
                <c:pt idx="22">
                  <c:v>1999</c:v>
                </c:pt>
                <c:pt idx="23">
                  <c:v>2000</c:v>
                </c:pt>
                <c:pt idx="24">
                  <c:v>2001</c:v>
                </c:pt>
                <c:pt idx="25">
                  <c:v>2002</c:v>
                </c:pt>
                <c:pt idx="26">
                  <c:v>2003</c:v>
                </c:pt>
                <c:pt idx="27">
                  <c:v>2004</c:v>
                </c:pt>
                <c:pt idx="28">
                  <c:v>2005</c:v>
                </c:pt>
                <c:pt idx="29">
                  <c:v>2006</c:v>
                </c:pt>
                <c:pt idx="30">
                  <c:v>2007</c:v>
                </c:pt>
                <c:pt idx="31">
                  <c:v>2008</c:v>
                </c:pt>
                <c:pt idx="32">
                  <c:v>2009</c:v>
                </c:pt>
                <c:pt idx="33">
                  <c:v>2010</c:v>
                </c:pt>
                <c:pt idx="34">
                  <c:v>2011</c:v>
                </c:pt>
                <c:pt idx="35">
                  <c:v>2012</c:v>
                </c:pt>
                <c:pt idx="36">
                  <c:v>2013</c:v>
                </c:pt>
                <c:pt idx="37">
                  <c:v>2014</c:v>
                </c:pt>
                <c:pt idx="38">
                  <c:v>2015</c:v>
                </c:pt>
              </c:numCache>
            </c:numRef>
          </c:xVal>
          <c:yVal>
            <c:numRef>
              <c:f>'Predict (Double Expo)'!$E$6:$E$44</c:f>
              <c:numCache>
                <c:formatCode>#,##0</c:formatCode>
                <c:ptCount val="39"/>
                <c:pt idx="1">
                  <c:v>2402685</c:v>
                </c:pt>
                <c:pt idx="2">
                  <c:v>2462190</c:v>
                </c:pt>
                <c:pt idx="3">
                  <c:v>2553396.8265082897</c:v>
                </c:pt>
                <c:pt idx="4">
                  <c:v>2583137.4331973414</c:v>
                </c:pt>
                <c:pt idx="5">
                  <c:v>2583525.5401523025</c:v>
                </c:pt>
                <c:pt idx="6">
                  <c:v>2593139.9721807544</c:v>
                </c:pt>
                <c:pt idx="7">
                  <c:v>2582449.5994105274</c:v>
                </c:pt>
                <c:pt idx="8">
                  <c:v>2582554.527339682</c:v>
                </c:pt>
                <c:pt idx="9">
                  <c:v>2568817.3703598334</c:v>
                </c:pt>
                <c:pt idx="10">
                  <c:v>2624256.852561994</c:v>
                </c:pt>
                <c:pt idx="11">
                  <c:v>2697018.7911551073</c:v>
                </c:pt>
                <c:pt idx="12">
                  <c:v>2693598.0274533178</c:v>
                </c:pt>
                <c:pt idx="13">
                  <c:v>2643558.0294835996</c:v>
                </c:pt>
                <c:pt idx="14">
                  <c:v>2649703.5202945913</c:v>
                </c:pt>
                <c:pt idx="15">
                  <c:v>2656128.3373507513</c:v>
                </c:pt>
                <c:pt idx="16">
                  <c:v>2628132.5186315919</c:v>
                </c:pt>
                <c:pt idx="17">
                  <c:v>2567989.4070361108</c:v>
                </c:pt>
                <c:pt idx="18">
                  <c:v>2627175.7261745883</c:v>
                </c:pt>
                <c:pt idx="19">
                  <c:v>2651969.2833084217</c:v>
                </c:pt>
                <c:pt idx="20">
                  <c:v>2676688.6562328711</c:v>
                </c:pt>
                <c:pt idx="21">
                  <c:v>2676051.8723820494</c:v>
                </c:pt>
                <c:pt idx="22">
                  <c:v>2685992.6001950549</c:v>
                </c:pt>
                <c:pt idx="23">
                  <c:v>2673237.4164145612</c:v>
                </c:pt>
                <c:pt idx="24">
                  <c:v>2716261.9857640266</c:v>
                </c:pt>
                <c:pt idx="25">
                  <c:v>2716474.4365426381</c:v>
                </c:pt>
                <c:pt idx="26">
                  <c:v>2688098.8912175172</c:v>
                </c:pt>
                <c:pt idx="27">
                  <c:v>2700524.9249529708</c:v>
                </c:pt>
                <c:pt idx="28">
                  <c:v>2742855.3748154622</c:v>
                </c:pt>
                <c:pt idx="29">
                  <c:v>2714637.1606484498</c:v>
                </c:pt>
                <c:pt idx="30">
                  <c:v>2725475.8494683141</c:v>
                </c:pt>
                <c:pt idx="31">
                  <c:v>2740058.1528085675</c:v>
                </c:pt>
                <c:pt idx="32">
                  <c:v>2735389.1000106907</c:v>
                </c:pt>
                <c:pt idx="33">
                  <c:v>2746393.9679621528</c:v>
                </c:pt>
                <c:pt idx="34">
                  <c:v>2649677.1379047656</c:v>
                </c:pt>
                <c:pt idx="35">
                  <c:v>2663412.9480508883</c:v>
                </c:pt>
                <c:pt idx="36">
                  <c:v>2652115.5188987055</c:v>
                </c:pt>
                <c:pt idx="37">
                  <c:v>2637890.0759382178</c:v>
                </c:pt>
                <c:pt idx="38">
                  <c:v>2584821.973701925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29-45E7-9B8E-9D56D0B3E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724096"/>
        <c:axId val="1042720856"/>
      </c:scatterChart>
      <c:valAx>
        <c:axId val="104272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720856"/>
        <c:crosses val="autoZero"/>
        <c:crossBetween val="midCat"/>
      </c:valAx>
      <c:valAx>
        <c:axId val="104272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Kilolitres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72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12226</xdr:colOff>
      <xdr:row>76</xdr:row>
      <xdr:rowOff>187111</xdr:rowOff>
    </xdr:from>
    <xdr:to>
      <xdr:col>7</xdr:col>
      <xdr:colOff>1834352</xdr:colOff>
      <xdr:row>101</xdr:row>
      <xdr:rowOff>172824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7CC314-D0FB-5AF7-B2B5-52C16A6DF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10187</xdr:colOff>
      <xdr:row>55</xdr:row>
      <xdr:rowOff>5194</xdr:rowOff>
    </xdr:from>
    <xdr:to>
      <xdr:col>10</xdr:col>
      <xdr:colOff>306022</xdr:colOff>
      <xdr:row>77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013562-B3B6-DAE8-CB8C-217A6B3B2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322984</xdr:colOff>
      <xdr:row>55</xdr:row>
      <xdr:rowOff>2598</xdr:rowOff>
    </xdr:from>
    <xdr:to>
      <xdr:col>19</xdr:col>
      <xdr:colOff>385075</xdr:colOff>
      <xdr:row>79</xdr:row>
      <xdr:rowOff>78797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D67636-51A1-14D3-DD96-266C547EB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14287</xdr:rowOff>
    </xdr:from>
    <xdr:to>
      <xdr:col>7</xdr:col>
      <xdr:colOff>1657349</xdr:colOff>
      <xdr:row>79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DAB504-67A9-67BF-C5ED-FFD412F33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128587</xdr:rowOff>
    </xdr:from>
    <xdr:to>
      <xdr:col>12</xdr:col>
      <xdr:colOff>9525</xdr:colOff>
      <xdr:row>69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F8E1C-7EF5-56E1-52A0-1F6140B78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56.931882060184" createdVersion="8" refreshedVersion="8" minRefreshableVersion="3" recordCount="156" xr:uid="{FB57A3A0-9C57-4AA9-A60E-8509691029E6}">
  <cacheSource type="worksheet">
    <worksheetSource ref="A1:C157" sheet="Distribution"/>
  </cacheSource>
  <cacheFields count="3">
    <cacheField name="Year" numFmtId="0">
      <sharedItems containsSemiMixedTypes="0" containsString="0" containsNumber="1" containsInteger="1" minValue="1990" maxValue="2015" count="26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</sharedItems>
    </cacheField>
    <cacheField name="Type" numFmtId="0">
      <sharedItems count="6">
        <s v="Standard milk 3.25%"/>
        <s v="Partly skimmed milk 2%"/>
        <s v="Partly skimmed milk 1%"/>
        <s v="Skim milk"/>
        <s v="Buttermilk"/>
        <s v="Chocolate and other flavoured milk"/>
      </sharedItems>
    </cacheField>
    <cacheField name="Sales" numFmtId="3">
      <sharedItems containsSemiMixedTypes="0" containsString="0" containsNumber="1" containsInteger="1" minValue="11308" maxValue="15774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x v="0"/>
    <x v="0"/>
    <n v="607449"/>
  </r>
  <r>
    <x v="0"/>
    <x v="1"/>
    <n v="1577450"/>
  </r>
  <r>
    <x v="0"/>
    <x v="2"/>
    <n v="161985"/>
  </r>
  <r>
    <x v="0"/>
    <x v="3"/>
    <n v="175371"/>
  </r>
  <r>
    <x v="0"/>
    <x v="4"/>
    <n v="13426"/>
  </r>
  <r>
    <x v="0"/>
    <x v="5"/>
    <n v="107877"/>
  </r>
  <r>
    <x v="1"/>
    <x v="0"/>
    <n v="558995"/>
  </r>
  <r>
    <x v="1"/>
    <x v="1"/>
    <n v="1564354"/>
  </r>
  <r>
    <x v="1"/>
    <x v="2"/>
    <n v="238890"/>
  </r>
  <r>
    <x v="1"/>
    <x v="3"/>
    <n v="178694"/>
  </r>
  <r>
    <x v="1"/>
    <x v="4"/>
    <n v="13030"/>
  </r>
  <r>
    <x v="1"/>
    <x v="5"/>
    <n v="95980"/>
  </r>
  <r>
    <x v="2"/>
    <x v="0"/>
    <n v="522502"/>
  </r>
  <r>
    <x v="2"/>
    <x v="1"/>
    <n v="1531546"/>
  </r>
  <r>
    <x v="2"/>
    <x v="2"/>
    <n v="289474"/>
  </r>
  <r>
    <x v="2"/>
    <x v="3"/>
    <n v="177617"/>
  </r>
  <r>
    <x v="2"/>
    <x v="4"/>
    <n v="12593"/>
  </r>
  <r>
    <x v="2"/>
    <x v="5"/>
    <n v="93063"/>
  </r>
  <r>
    <x v="3"/>
    <x v="0"/>
    <n v="492256"/>
  </r>
  <r>
    <x v="3"/>
    <x v="1"/>
    <n v="1480648"/>
  </r>
  <r>
    <x v="3"/>
    <x v="2"/>
    <n v="319063"/>
  </r>
  <r>
    <x v="3"/>
    <x v="3"/>
    <n v="177526"/>
  </r>
  <r>
    <x v="3"/>
    <x v="4"/>
    <n v="12026"/>
  </r>
  <r>
    <x v="3"/>
    <x v="5"/>
    <n v="97021"/>
  </r>
  <r>
    <x v="4"/>
    <x v="0"/>
    <n v="487423"/>
  </r>
  <r>
    <x v="4"/>
    <x v="1"/>
    <n v="1454605"/>
  </r>
  <r>
    <x v="4"/>
    <x v="2"/>
    <n v="377113"/>
  </r>
  <r>
    <x v="4"/>
    <x v="3"/>
    <n v="191495"/>
  </r>
  <r>
    <x v="4"/>
    <x v="4"/>
    <n v="12036"/>
  </r>
  <r>
    <x v="4"/>
    <x v="5"/>
    <n v="110391"/>
  </r>
  <r>
    <x v="5"/>
    <x v="0"/>
    <n v="467047"/>
  </r>
  <r>
    <x v="5"/>
    <x v="1"/>
    <n v="1415779"/>
  </r>
  <r>
    <x v="5"/>
    <x v="2"/>
    <n v="419465"/>
  </r>
  <r>
    <x v="5"/>
    <x v="3"/>
    <n v="213774"/>
  </r>
  <r>
    <x v="5"/>
    <x v="4"/>
    <n v="12333"/>
  </r>
  <r>
    <x v="5"/>
    <x v="5"/>
    <n v="118157"/>
  </r>
  <r>
    <x v="6"/>
    <x v="0"/>
    <n v="455962"/>
  </r>
  <r>
    <x v="6"/>
    <x v="1"/>
    <n v="1394336"/>
  </r>
  <r>
    <x v="6"/>
    <x v="2"/>
    <n v="457720"/>
  </r>
  <r>
    <x v="6"/>
    <x v="3"/>
    <n v="229698"/>
  </r>
  <r>
    <x v="6"/>
    <x v="4"/>
    <n v="11837"/>
  </r>
  <r>
    <x v="6"/>
    <x v="5"/>
    <n v="116906"/>
  </r>
  <r>
    <x v="7"/>
    <x v="0"/>
    <n v="449221"/>
  </r>
  <r>
    <x v="7"/>
    <x v="1"/>
    <n v="1360127"/>
  </r>
  <r>
    <x v="7"/>
    <x v="2"/>
    <n v="484241"/>
  </r>
  <r>
    <x v="7"/>
    <x v="3"/>
    <n v="240626"/>
  </r>
  <r>
    <x v="7"/>
    <x v="4"/>
    <n v="11360"/>
  </r>
  <r>
    <x v="7"/>
    <x v="5"/>
    <n v="120254"/>
  </r>
  <r>
    <x v="8"/>
    <x v="0"/>
    <n v="445719"/>
  </r>
  <r>
    <x v="8"/>
    <x v="1"/>
    <n v="1347497"/>
  </r>
  <r>
    <x v="8"/>
    <x v="2"/>
    <n v="494851"/>
  </r>
  <r>
    <x v="8"/>
    <x v="3"/>
    <n v="247758"/>
  </r>
  <r>
    <x v="8"/>
    <x v="4"/>
    <n v="13084"/>
  </r>
  <r>
    <x v="8"/>
    <x v="5"/>
    <n v="128057"/>
  </r>
  <r>
    <x v="9"/>
    <x v="0"/>
    <n v="429496"/>
  </r>
  <r>
    <x v="9"/>
    <x v="1"/>
    <n v="1325097"/>
  </r>
  <r>
    <x v="9"/>
    <x v="2"/>
    <n v="503338"/>
  </r>
  <r>
    <x v="9"/>
    <x v="3"/>
    <n v="254327"/>
  </r>
  <r>
    <x v="9"/>
    <x v="4"/>
    <n v="13067"/>
  </r>
  <r>
    <x v="9"/>
    <x v="5"/>
    <n v="141894"/>
  </r>
  <r>
    <x v="10"/>
    <x v="0"/>
    <n v="435774"/>
  </r>
  <r>
    <x v="10"/>
    <x v="1"/>
    <n v="1326772"/>
  </r>
  <r>
    <x v="10"/>
    <x v="2"/>
    <n v="529536"/>
  </r>
  <r>
    <x v="10"/>
    <x v="3"/>
    <n v="263597"/>
  </r>
  <r>
    <x v="10"/>
    <x v="4"/>
    <n v="12040"/>
  </r>
  <r>
    <x v="10"/>
    <x v="5"/>
    <n v="139247"/>
  </r>
  <r>
    <x v="11"/>
    <x v="0"/>
    <n v="440405"/>
  </r>
  <r>
    <x v="11"/>
    <x v="1"/>
    <n v="1296712"/>
  </r>
  <r>
    <x v="11"/>
    <x v="2"/>
    <n v="533865"/>
  </r>
  <r>
    <x v="11"/>
    <x v="3"/>
    <n v="270706"/>
  </r>
  <r>
    <x v="11"/>
    <x v="4"/>
    <n v="12048"/>
  </r>
  <r>
    <x v="11"/>
    <x v="5"/>
    <n v="151147"/>
  </r>
  <r>
    <x v="12"/>
    <x v="0"/>
    <n v="424771"/>
  </r>
  <r>
    <x v="12"/>
    <x v="1"/>
    <n v="1272619"/>
  </r>
  <r>
    <x v="12"/>
    <x v="2"/>
    <n v="540836"/>
  </r>
  <r>
    <x v="12"/>
    <x v="3"/>
    <n v="277006"/>
  </r>
  <r>
    <x v="12"/>
    <x v="4"/>
    <n v="13217"/>
  </r>
  <r>
    <x v="12"/>
    <x v="5"/>
    <n v="154968"/>
  </r>
  <r>
    <x v="13"/>
    <x v="0"/>
    <n v="425547"/>
  </r>
  <r>
    <x v="13"/>
    <x v="1"/>
    <n v="1276046"/>
  </r>
  <r>
    <x v="13"/>
    <x v="2"/>
    <n v="552390"/>
  </r>
  <r>
    <x v="13"/>
    <x v="3"/>
    <n v="270260"/>
  </r>
  <r>
    <x v="13"/>
    <x v="4"/>
    <n v="13528"/>
  </r>
  <r>
    <x v="13"/>
    <x v="5"/>
    <n v="160487"/>
  </r>
  <r>
    <x v="14"/>
    <x v="0"/>
    <n v="418017"/>
  </r>
  <r>
    <x v="14"/>
    <x v="1"/>
    <n v="1281205"/>
  </r>
  <r>
    <x v="14"/>
    <x v="2"/>
    <n v="572017"/>
  </r>
  <r>
    <x v="14"/>
    <x v="3"/>
    <n v="276051"/>
  </r>
  <r>
    <x v="14"/>
    <x v="4"/>
    <n v="14144"/>
  </r>
  <r>
    <x v="14"/>
    <x v="5"/>
    <n v="172361"/>
  </r>
  <r>
    <x v="15"/>
    <x v="0"/>
    <n v="406704"/>
  </r>
  <r>
    <x v="15"/>
    <x v="1"/>
    <n v="1251785"/>
  </r>
  <r>
    <x v="15"/>
    <x v="2"/>
    <n v="576368"/>
  </r>
  <r>
    <x v="15"/>
    <x v="3"/>
    <n v="282227"/>
  </r>
  <r>
    <x v="15"/>
    <x v="4"/>
    <n v="13619"/>
  </r>
  <r>
    <x v="15"/>
    <x v="5"/>
    <n v="176647"/>
  </r>
  <r>
    <x v="16"/>
    <x v="0"/>
    <n v="402461"/>
  </r>
  <r>
    <x v="16"/>
    <x v="1"/>
    <n v="1252055"/>
  </r>
  <r>
    <x v="16"/>
    <x v="2"/>
    <n v="590044"/>
  </r>
  <r>
    <x v="16"/>
    <x v="3"/>
    <n v="283655"/>
  </r>
  <r>
    <x v="16"/>
    <x v="4"/>
    <n v="13691"/>
  </r>
  <r>
    <x v="16"/>
    <x v="5"/>
    <n v="179556"/>
  </r>
  <r>
    <x v="17"/>
    <x v="0"/>
    <n v="393016"/>
  </r>
  <r>
    <x v="17"/>
    <x v="1"/>
    <n v="1249061"/>
  </r>
  <r>
    <x v="17"/>
    <x v="2"/>
    <n v="598579"/>
  </r>
  <r>
    <x v="17"/>
    <x v="3"/>
    <n v="288002"/>
  </r>
  <r>
    <x v="17"/>
    <x v="4"/>
    <n v="14934"/>
  </r>
  <r>
    <x v="17"/>
    <x v="5"/>
    <n v="190219"/>
  </r>
  <r>
    <x v="18"/>
    <x v="0"/>
    <n v="377088"/>
  </r>
  <r>
    <x v="18"/>
    <x v="1"/>
    <n v="1242981"/>
  </r>
  <r>
    <x v="18"/>
    <x v="2"/>
    <n v="604388"/>
  </r>
  <r>
    <x v="18"/>
    <x v="3"/>
    <n v="288886"/>
  </r>
  <r>
    <x v="18"/>
    <x v="4"/>
    <n v="14591"/>
  </r>
  <r>
    <x v="18"/>
    <x v="5"/>
    <n v="201877"/>
  </r>
  <r>
    <x v="19"/>
    <x v="0"/>
    <n v="375857"/>
  </r>
  <r>
    <x v="19"/>
    <x v="1"/>
    <n v="1259482"/>
  </r>
  <r>
    <x v="19"/>
    <x v="2"/>
    <n v="610745"/>
  </r>
  <r>
    <x v="19"/>
    <x v="3"/>
    <n v="289562"/>
  </r>
  <r>
    <x v="19"/>
    <x v="4"/>
    <n v="12579"/>
  </r>
  <r>
    <x v="19"/>
    <x v="5"/>
    <n v="192908"/>
  </r>
  <r>
    <x v="20"/>
    <x v="0"/>
    <n v="359681"/>
  </r>
  <r>
    <x v="20"/>
    <x v="1"/>
    <n v="1215337"/>
  </r>
  <r>
    <x v="20"/>
    <x v="2"/>
    <n v="591879"/>
  </r>
  <r>
    <x v="20"/>
    <x v="3"/>
    <n v="283175"/>
  </r>
  <r>
    <x v="20"/>
    <x v="4"/>
    <n v="11308"/>
  </r>
  <r>
    <x v="20"/>
    <x v="5"/>
    <n v="196964"/>
  </r>
  <r>
    <x v="21"/>
    <x v="0"/>
    <n v="359057"/>
  </r>
  <r>
    <x v="21"/>
    <x v="1"/>
    <n v="1225384"/>
  </r>
  <r>
    <x v="21"/>
    <x v="2"/>
    <n v="596384"/>
  </r>
  <r>
    <x v="21"/>
    <x v="3"/>
    <n v="281808"/>
  </r>
  <r>
    <x v="21"/>
    <x v="4"/>
    <n v="11587"/>
  </r>
  <r>
    <x v="21"/>
    <x v="5"/>
    <n v="204039"/>
  </r>
  <r>
    <x v="22"/>
    <x v="0"/>
    <n v="357136"/>
  </r>
  <r>
    <x v="22"/>
    <x v="1"/>
    <n v="1230693"/>
  </r>
  <r>
    <x v="22"/>
    <x v="2"/>
    <n v="586955"/>
  </r>
  <r>
    <x v="22"/>
    <x v="3"/>
    <n v="273301"/>
  </r>
  <r>
    <x v="22"/>
    <x v="4"/>
    <n v="11723"/>
  </r>
  <r>
    <x v="22"/>
    <x v="5"/>
    <n v="203605"/>
  </r>
  <r>
    <x v="23"/>
    <x v="0"/>
    <n v="360104"/>
  </r>
  <r>
    <x v="23"/>
    <x v="1"/>
    <n v="1250968"/>
  </r>
  <r>
    <x v="23"/>
    <x v="2"/>
    <n v="567384"/>
  </r>
  <r>
    <x v="23"/>
    <x v="3"/>
    <n v="254167"/>
  </r>
  <r>
    <x v="23"/>
    <x v="4"/>
    <n v="12967"/>
  </r>
  <r>
    <x v="23"/>
    <x v="5"/>
    <n v="204015"/>
  </r>
  <r>
    <x v="24"/>
    <x v="0"/>
    <n v="361332"/>
  </r>
  <r>
    <x v="24"/>
    <x v="1"/>
    <n v="1249317"/>
  </r>
  <r>
    <x v="24"/>
    <x v="2"/>
    <n v="538156"/>
  </r>
  <r>
    <x v="24"/>
    <x v="3"/>
    <n v="229752"/>
  </r>
  <r>
    <x v="24"/>
    <x v="4"/>
    <n v="11924"/>
  </r>
  <r>
    <x v="24"/>
    <x v="5"/>
    <n v="212219"/>
  </r>
  <r>
    <x v="25"/>
    <x v="0"/>
    <n v="355307"/>
  </r>
  <r>
    <x v="25"/>
    <x v="1"/>
    <n v="1238196"/>
  </r>
  <r>
    <x v="25"/>
    <x v="2"/>
    <n v="503488"/>
  </r>
  <r>
    <x v="25"/>
    <x v="3"/>
    <n v="200663"/>
  </r>
  <r>
    <x v="25"/>
    <x v="4"/>
    <n v="11409"/>
  </r>
  <r>
    <x v="25"/>
    <x v="5"/>
    <n v="2289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E165BC-A411-4F32-9AD3-1B1C393DBA5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Year" colHeaderCaption="Type of Milk">
  <location ref="I33:W62" firstHeaderRow="1" firstDataRow="3" firstDataCol="1"/>
  <pivotFields count="3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Col" showAll="0">
      <items count="7">
        <item x="4"/>
        <item x="5"/>
        <item x="2"/>
        <item x="1"/>
        <item x="3"/>
        <item x="0"/>
        <item t="default"/>
      </items>
    </pivotField>
    <pivotField dataField="1" numFmtId="3"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2">
    <field x="1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Sum of Sales" fld="2" showDataAs="percentOfRow" baseField="0" baseItem="0" numFmtId="10"/>
    <dataField name="Sum of Sales2" fld="2" showDataAs="percentDiff" baseField="0" baseItem="1048828" numFmtId="10"/>
  </dataFields>
  <formats count="9">
    <format dxfId="8">
      <pivotArea dataOnly="0" fieldPosition="0">
        <references count="1">
          <reference field="0" count="1">
            <x v="20"/>
          </reference>
        </references>
      </pivotArea>
    </format>
    <format dxfId="7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1" count="1" selected="0">
            <x v="0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1" count="1" selected="0">
            <x v="1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1" count="1" selected="0">
            <x v="2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1" count="1" selected="0">
            <x v="3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1" count="1" selected="0">
            <x v="4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0" count="0"/>
          <reference field="1" count="1" selected="0">
            <x v="5"/>
          </reference>
        </references>
      </pivotArea>
    </format>
    <format dxfId="1">
      <pivotArea field="0" grandCol="1" collapsedLevelsAreSubtotals="1" axis="axisRow" fieldPosition="0">
        <references count="2">
          <reference field="4294967294" count="1" selected="0">
            <x v="1"/>
          </reference>
          <reference field="0" count="0"/>
        </references>
      </pivotArea>
    </format>
    <format dxfId="0">
      <pivotArea field="0" grandCol="1" collapsedLevelsAreSubtotals="1" axis="axisRow" fieldPosition="0">
        <references count="2">
          <reference field="4294967294" count="2" selected="0">
            <x v="0"/>
            <x v="1"/>
          </reference>
          <reference field="0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25F1A6-2AEA-4273-935F-9F1602774D09}" name="Table2" displayName="Table2" ref="B74:D77" totalsRowShown="0">
  <autoFilter ref="B74:D77" xr:uid="{9925F1A6-2AEA-4273-935F-9F1602774D09}"/>
  <tableColumns count="3">
    <tableColumn id="1" xr3:uid="{52238368-DF6C-453A-A8D2-7239AA92E800}" name="Period"/>
    <tableColumn id="2" xr3:uid="{22715442-B869-44F9-BF27-B2729AC43760}" name="Market Characteristics"/>
    <tableColumn id="3" xr3:uid="{453513F4-2293-410B-87CB-48D1B6A44678}" name="Proposed Strateg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50E3-7E32-45C5-9E68-D9ED94C6C1C1}">
  <dimension ref="A1:H41"/>
  <sheetViews>
    <sheetView topLeftCell="A14" zoomScale="85" zoomScaleNormal="85" workbookViewId="0">
      <selection activeCell="B35" sqref="B35"/>
    </sheetView>
  </sheetViews>
  <sheetFormatPr defaultRowHeight="15" x14ac:dyDescent="0.25"/>
  <cols>
    <col min="1" max="1" width="5" bestFit="1" customWidth="1"/>
    <col min="2" max="2" width="9.140625" bestFit="1" customWidth="1"/>
    <col min="3" max="3" width="19.140625" bestFit="1" customWidth="1"/>
    <col min="4" max="5" width="22.5703125" bestFit="1" customWidth="1"/>
    <col min="6" max="6" width="9.7109375" bestFit="1" customWidth="1"/>
    <col min="7" max="7" width="10.42578125" bestFit="1" customWidth="1"/>
    <col min="8" max="8" width="33.28515625" bestFit="1" customWidth="1"/>
  </cols>
  <sheetData>
    <row r="1" spans="1:8" x14ac:dyDescent="0.25">
      <c r="A1" s="4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44"/>
      <c r="B2" s="44" t="s">
        <v>8</v>
      </c>
      <c r="C2" s="44"/>
      <c r="D2" s="44"/>
      <c r="E2" s="44"/>
      <c r="F2" s="44"/>
      <c r="G2" s="44"/>
      <c r="H2" s="44"/>
    </row>
    <row r="3" spans="1:8" ht="45" x14ac:dyDescent="0.25">
      <c r="A3" s="1">
        <v>1977</v>
      </c>
      <c r="B3" s="2">
        <v>2343180</v>
      </c>
      <c r="C3" s="2">
        <v>1022379</v>
      </c>
      <c r="D3" s="2">
        <v>1141403</v>
      </c>
      <c r="E3" s="3" t="s">
        <v>9</v>
      </c>
      <c r="F3" s="2">
        <v>84921</v>
      </c>
      <c r="G3" s="2">
        <v>14547</v>
      </c>
      <c r="H3" s="2">
        <v>79930</v>
      </c>
    </row>
    <row r="4" spans="1:8" ht="45" x14ac:dyDescent="0.25">
      <c r="A4" s="1">
        <v>1978</v>
      </c>
      <c r="B4" s="2">
        <v>2402685</v>
      </c>
      <c r="C4" s="2">
        <v>1004815</v>
      </c>
      <c r="D4" s="2">
        <v>1207135</v>
      </c>
      <c r="E4" s="3" t="s">
        <v>9</v>
      </c>
      <c r="F4" s="2">
        <v>88219</v>
      </c>
      <c r="G4" s="2">
        <v>14962</v>
      </c>
      <c r="H4" s="2">
        <v>87554</v>
      </c>
    </row>
    <row r="5" spans="1:8" ht="45" x14ac:dyDescent="0.25">
      <c r="A5" s="1">
        <v>1979</v>
      </c>
      <c r="B5" s="2">
        <v>2489372</v>
      </c>
      <c r="C5" s="2">
        <v>1003728</v>
      </c>
      <c r="D5" s="2">
        <v>1284110</v>
      </c>
      <c r="E5" s="3" t="s">
        <v>9</v>
      </c>
      <c r="F5" s="2">
        <v>91989</v>
      </c>
      <c r="G5" s="2">
        <v>15090</v>
      </c>
      <c r="H5" s="2">
        <v>94455</v>
      </c>
    </row>
    <row r="6" spans="1:8" ht="45" x14ac:dyDescent="0.25">
      <c r="A6" s="1">
        <v>1980</v>
      </c>
      <c r="B6" s="2">
        <v>2521107</v>
      </c>
      <c r="C6" s="2">
        <v>994288</v>
      </c>
      <c r="D6" s="2">
        <v>1324874</v>
      </c>
      <c r="E6" s="3" t="s">
        <v>9</v>
      </c>
      <c r="F6" s="2">
        <v>91025</v>
      </c>
      <c r="G6" s="2">
        <v>14818</v>
      </c>
      <c r="H6" s="2">
        <v>96102</v>
      </c>
    </row>
    <row r="7" spans="1:8" ht="45" x14ac:dyDescent="0.25">
      <c r="A7" s="1">
        <v>1981</v>
      </c>
      <c r="B7" s="2">
        <v>2533721</v>
      </c>
      <c r="C7" s="2">
        <v>969534</v>
      </c>
      <c r="D7" s="2">
        <v>1369600</v>
      </c>
      <c r="E7" s="3" t="s">
        <v>9</v>
      </c>
      <c r="F7" s="2">
        <v>83680</v>
      </c>
      <c r="G7" s="2">
        <v>14238</v>
      </c>
      <c r="H7" s="2">
        <v>96669</v>
      </c>
    </row>
    <row r="8" spans="1:8" ht="45" x14ac:dyDescent="0.25">
      <c r="A8" s="1">
        <v>1982</v>
      </c>
      <c r="B8" s="2">
        <v>2554326</v>
      </c>
      <c r="C8" s="2">
        <v>933083</v>
      </c>
      <c r="D8" s="2">
        <v>1433119</v>
      </c>
      <c r="E8" s="3" t="s">
        <v>9</v>
      </c>
      <c r="F8" s="2">
        <v>85583</v>
      </c>
      <c r="G8" s="2">
        <v>13924</v>
      </c>
      <c r="H8" s="2">
        <v>88617</v>
      </c>
    </row>
    <row r="9" spans="1:8" ht="45" x14ac:dyDescent="0.25">
      <c r="A9" s="1">
        <v>1983</v>
      </c>
      <c r="B9" s="2">
        <v>2553802</v>
      </c>
      <c r="C9" s="2">
        <v>886607</v>
      </c>
      <c r="D9" s="2">
        <v>1478620</v>
      </c>
      <c r="E9" s="3" t="s">
        <v>9</v>
      </c>
      <c r="F9" s="2">
        <v>88031</v>
      </c>
      <c r="G9" s="2">
        <v>14369</v>
      </c>
      <c r="H9" s="2">
        <v>86175</v>
      </c>
    </row>
    <row r="10" spans="1:8" ht="45" x14ac:dyDescent="0.25">
      <c r="A10" s="1">
        <v>1984</v>
      </c>
      <c r="B10" s="2">
        <v>2562164</v>
      </c>
      <c r="C10" s="2">
        <v>848453</v>
      </c>
      <c r="D10" s="2">
        <v>1517143</v>
      </c>
      <c r="E10" s="3" t="s">
        <v>9</v>
      </c>
      <c r="F10" s="2">
        <v>95328</v>
      </c>
      <c r="G10" s="2">
        <v>13519</v>
      </c>
      <c r="H10" s="2">
        <v>87721</v>
      </c>
    </row>
    <row r="11" spans="1:8" ht="45" x14ac:dyDescent="0.25">
      <c r="A11" s="1">
        <v>1985</v>
      </c>
      <c r="B11" s="2">
        <v>2555452</v>
      </c>
      <c r="C11" s="2">
        <v>804064</v>
      </c>
      <c r="D11" s="2">
        <v>1541926</v>
      </c>
      <c r="E11" s="3" t="s">
        <v>9</v>
      </c>
      <c r="F11" s="2">
        <v>109222</v>
      </c>
      <c r="G11" s="2">
        <v>13486</v>
      </c>
      <c r="H11" s="2">
        <v>86754</v>
      </c>
    </row>
    <row r="12" spans="1:8" ht="45" x14ac:dyDescent="0.25">
      <c r="A12" s="1">
        <v>1986</v>
      </c>
      <c r="B12" s="2">
        <v>2607778</v>
      </c>
      <c r="C12" s="2">
        <v>774204</v>
      </c>
      <c r="D12" s="2">
        <v>1604704</v>
      </c>
      <c r="E12" s="3" t="s">
        <v>9</v>
      </c>
      <c r="F12" s="2">
        <v>123676</v>
      </c>
      <c r="G12" s="2">
        <v>13542</v>
      </c>
      <c r="H12" s="2">
        <v>91652</v>
      </c>
    </row>
    <row r="13" spans="1:8" ht="45" x14ac:dyDescent="0.25">
      <c r="A13" s="1">
        <v>1987</v>
      </c>
      <c r="B13" s="2">
        <v>2668368</v>
      </c>
      <c r="C13" s="2">
        <v>756067</v>
      </c>
      <c r="D13" s="2">
        <v>1653803</v>
      </c>
      <c r="E13" s="3" t="s">
        <v>9</v>
      </c>
      <c r="F13" s="2">
        <v>139059</v>
      </c>
      <c r="G13" s="2">
        <v>13875</v>
      </c>
      <c r="H13" s="2">
        <v>105564</v>
      </c>
    </row>
    <row r="14" spans="1:8" ht="45" x14ac:dyDescent="0.25">
      <c r="A14" s="1">
        <v>1988</v>
      </c>
      <c r="B14" s="2">
        <v>2664824</v>
      </c>
      <c r="C14" s="2">
        <v>719301</v>
      </c>
      <c r="D14" s="2">
        <v>1679403</v>
      </c>
      <c r="E14" s="3" t="s">
        <v>9</v>
      </c>
      <c r="F14" s="2">
        <v>145473</v>
      </c>
      <c r="G14" s="2">
        <v>13622</v>
      </c>
      <c r="H14" s="2">
        <v>107025</v>
      </c>
    </row>
    <row r="15" spans="1:8" ht="45" x14ac:dyDescent="0.25">
      <c r="A15" s="1">
        <v>1989</v>
      </c>
      <c r="B15" s="2">
        <v>2629448</v>
      </c>
      <c r="C15" s="2">
        <v>660963</v>
      </c>
      <c r="D15" s="2">
        <v>1689988</v>
      </c>
      <c r="E15" s="3" t="s">
        <v>9</v>
      </c>
      <c r="F15" s="2">
        <v>157855</v>
      </c>
      <c r="G15" s="2">
        <v>13613</v>
      </c>
      <c r="H15" s="2">
        <v>107029</v>
      </c>
    </row>
    <row r="16" spans="1:8" x14ac:dyDescent="0.25">
      <c r="A16" s="1">
        <v>1990</v>
      </c>
      <c r="B16" s="2">
        <v>2643558</v>
      </c>
      <c r="C16" s="2">
        <v>607449</v>
      </c>
      <c r="D16" s="2">
        <v>1577450</v>
      </c>
      <c r="E16" s="2">
        <v>161985</v>
      </c>
      <c r="F16" s="2">
        <v>175371</v>
      </c>
      <c r="G16" s="2">
        <v>13426</v>
      </c>
      <c r="H16" s="2">
        <v>107877</v>
      </c>
    </row>
    <row r="17" spans="1:8" x14ac:dyDescent="0.25">
      <c r="A17" s="1">
        <v>1991</v>
      </c>
      <c r="B17" s="2">
        <v>2649943</v>
      </c>
      <c r="C17" s="2">
        <v>558995</v>
      </c>
      <c r="D17" s="2">
        <v>1564354</v>
      </c>
      <c r="E17" s="2">
        <v>238890</v>
      </c>
      <c r="F17" s="2">
        <v>178694</v>
      </c>
      <c r="G17" s="2">
        <v>13030</v>
      </c>
      <c r="H17" s="2">
        <v>95980</v>
      </c>
    </row>
    <row r="18" spans="1:8" x14ac:dyDescent="0.25">
      <c r="A18" s="1">
        <v>1992</v>
      </c>
      <c r="B18" s="2">
        <v>2626795</v>
      </c>
      <c r="C18" s="2">
        <v>522502</v>
      </c>
      <c r="D18" s="2">
        <v>1531546</v>
      </c>
      <c r="E18" s="2">
        <v>289474</v>
      </c>
      <c r="F18" s="2">
        <v>177617</v>
      </c>
      <c r="G18" s="2">
        <v>12593</v>
      </c>
      <c r="H18" s="2">
        <v>93063</v>
      </c>
    </row>
    <row r="19" spans="1:8" x14ac:dyDescent="0.25">
      <c r="A19" s="1">
        <v>1993</v>
      </c>
      <c r="B19" s="2">
        <v>2578540</v>
      </c>
      <c r="C19" s="2">
        <v>492256</v>
      </c>
      <c r="D19" s="2">
        <v>1480648</v>
      </c>
      <c r="E19" s="2">
        <v>319063</v>
      </c>
      <c r="F19" s="2">
        <v>177526</v>
      </c>
      <c r="G19" s="2">
        <v>12026</v>
      </c>
      <c r="H19" s="2">
        <v>97021</v>
      </c>
    </row>
    <row r="20" spans="1:8" x14ac:dyDescent="0.25">
      <c r="A20" s="1">
        <v>1994</v>
      </c>
      <c r="B20" s="2">
        <v>2633063</v>
      </c>
      <c r="C20" s="2">
        <v>487423</v>
      </c>
      <c r="D20" s="2">
        <v>1454605</v>
      </c>
      <c r="E20" s="2">
        <v>377113</v>
      </c>
      <c r="F20" s="2">
        <v>191495</v>
      </c>
      <c r="G20" s="2">
        <v>12036</v>
      </c>
      <c r="H20" s="2">
        <v>110391</v>
      </c>
    </row>
    <row r="21" spans="1:8" x14ac:dyDescent="0.25">
      <c r="A21" s="1">
        <v>1995</v>
      </c>
      <c r="B21" s="2">
        <v>2646555</v>
      </c>
      <c r="C21" s="2">
        <v>467047</v>
      </c>
      <c r="D21" s="2">
        <v>1415779</v>
      </c>
      <c r="E21" s="2">
        <v>419465</v>
      </c>
      <c r="F21" s="2">
        <v>213774</v>
      </c>
      <c r="G21" s="2">
        <v>12333</v>
      </c>
      <c r="H21" s="2">
        <v>118157</v>
      </c>
    </row>
    <row r="22" spans="1:8" x14ac:dyDescent="0.25">
      <c r="A22" s="1">
        <v>1996</v>
      </c>
      <c r="B22" s="2">
        <v>2666459</v>
      </c>
      <c r="C22" s="2">
        <v>455962</v>
      </c>
      <c r="D22" s="2">
        <v>1394336</v>
      </c>
      <c r="E22" s="2">
        <v>457720</v>
      </c>
      <c r="F22" s="2">
        <v>229698</v>
      </c>
      <c r="G22" s="2">
        <v>11837</v>
      </c>
      <c r="H22" s="2">
        <v>116906</v>
      </c>
    </row>
    <row r="23" spans="1:8" x14ac:dyDescent="0.25">
      <c r="A23" s="1">
        <v>1997</v>
      </c>
      <c r="B23" s="2">
        <v>2665829</v>
      </c>
      <c r="C23" s="2">
        <v>449221</v>
      </c>
      <c r="D23" s="2">
        <v>1360127</v>
      </c>
      <c r="E23" s="2">
        <v>484241</v>
      </c>
      <c r="F23" s="2">
        <v>240626</v>
      </c>
      <c r="G23" s="2">
        <v>11360</v>
      </c>
      <c r="H23" s="2">
        <v>120254</v>
      </c>
    </row>
    <row r="24" spans="1:8" x14ac:dyDescent="0.25">
      <c r="A24" s="1">
        <v>1998</v>
      </c>
      <c r="B24" s="2">
        <v>2676966</v>
      </c>
      <c r="C24" s="2">
        <v>445719</v>
      </c>
      <c r="D24" s="2">
        <v>1347497</v>
      </c>
      <c r="E24" s="2">
        <v>494851</v>
      </c>
      <c r="F24" s="2">
        <v>247758</v>
      </c>
      <c r="G24" s="2">
        <v>13084</v>
      </c>
      <c r="H24" s="2">
        <v>128057</v>
      </c>
    </row>
    <row r="25" spans="1:8" x14ac:dyDescent="0.25">
      <c r="A25" s="1">
        <v>1999</v>
      </c>
      <c r="B25" s="2">
        <v>2667219</v>
      </c>
      <c r="C25" s="2">
        <v>429496</v>
      </c>
      <c r="D25" s="2">
        <v>1325097</v>
      </c>
      <c r="E25" s="2">
        <v>503338</v>
      </c>
      <c r="F25" s="2">
        <v>254327</v>
      </c>
      <c r="G25" s="2">
        <v>13067</v>
      </c>
      <c r="H25" s="2">
        <v>141894</v>
      </c>
    </row>
    <row r="26" spans="1:8" x14ac:dyDescent="0.25">
      <c r="A26" s="1">
        <v>2000</v>
      </c>
      <c r="B26" s="2">
        <v>2706966</v>
      </c>
      <c r="C26" s="2">
        <v>435774</v>
      </c>
      <c r="D26" s="2">
        <v>1326772</v>
      </c>
      <c r="E26" s="2">
        <v>529536</v>
      </c>
      <c r="F26" s="2">
        <v>263597</v>
      </c>
      <c r="G26" s="2">
        <v>12040</v>
      </c>
      <c r="H26" s="2">
        <v>139247</v>
      </c>
    </row>
    <row r="27" spans="1:8" x14ac:dyDescent="0.25">
      <c r="A27" s="1">
        <v>2001</v>
      </c>
      <c r="B27" s="2">
        <v>2704883</v>
      </c>
      <c r="C27" s="2">
        <v>440405</v>
      </c>
      <c r="D27" s="2">
        <v>1296712</v>
      </c>
      <c r="E27" s="2">
        <v>533865</v>
      </c>
      <c r="F27" s="2">
        <v>270706</v>
      </c>
      <c r="G27" s="2">
        <v>12048</v>
      </c>
      <c r="H27" s="2">
        <v>151147</v>
      </c>
    </row>
    <row r="28" spans="1:8" x14ac:dyDescent="0.25">
      <c r="A28" s="1">
        <v>2002</v>
      </c>
      <c r="B28" s="2">
        <v>2683417</v>
      </c>
      <c r="C28" s="2">
        <v>424771</v>
      </c>
      <c r="D28" s="2">
        <v>1272619</v>
      </c>
      <c r="E28" s="2">
        <v>540836</v>
      </c>
      <c r="F28" s="2">
        <v>277006</v>
      </c>
      <c r="G28" s="2">
        <v>13217</v>
      </c>
      <c r="H28" s="2">
        <v>154968</v>
      </c>
    </row>
    <row r="29" spans="1:8" x14ac:dyDescent="0.25">
      <c r="A29" s="1">
        <v>2003</v>
      </c>
      <c r="B29" s="2">
        <v>2698258</v>
      </c>
      <c r="C29" s="2">
        <v>425547</v>
      </c>
      <c r="D29" s="2">
        <v>1276046</v>
      </c>
      <c r="E29" s="2">
        <v>552390</v>
      </c>
      <c r="F29" s="2">
        <v>270260</v>
      </c>
      <c r="G29" s="2">
        <v>13528</v>
      </c>
      <c r="H29" s="2">
        <v>160487</v>
      </c>
    </row>
    <row r="30" spans="1:8" x14ac:dyDescent="0.25">
      <c r="A30" s="1">
        <v>2004</v>
      </c>
      <c r="B30" s="2">
        <v>2733795</v>
      </c>
      <c r="C30" s="2">
        <v>418017</v>
      </c>
      <c r="D30" s="2">
        <v>1281205</v>
      </c>
      <c r="E30" s="2">
        <v>572017</v>
      </c>
      <c r="F30" s="2">
        <v>276051</v>
      </c>
      <c r="G30" s="2">
        <v>14144</v>
      </c>
      <c r="H30" s="2">
        <v>172361</v>
      </c>
    </row>
    <row r="31" spans="1:8" x14ac:dyDescent="0.25">
      <c r="A31" s="1">
        <v>2005</v>
      </c>
      <c r="B31" s="2">
        <v>2707350</v>
      </c>
      <c r="C31" s="2">
        <v>406704</v>
      </c>
      <c r="D31" s="2">
        <v>1251785</v>
      </c>
      <c r="E31" s="2">
        <v>576368</v>
      </c>
      <c r="F31" s="2">
        <v>282227</v>
      </c>
      <c r="G31" s="2">
        <v>13619</v>
      </c>
      <c r="H31" s="2">
        <v>176647</v>
      </c>
    </row>
    <row r="32" spans="1:8" x14ac:dyDescent="0.25">
      <c r="A32" s="1">
        <v>2006</v>
      </c>
      <c r="B32" s="2">
        <v>2721462</v>
      </c>
      <c r="C32" s="2">
        <v>402461</v>
      </c>
      <c r="D32" s="2">
        <v>1252055</v>
      </c>
      <c r="E32" s="2">
        <v>590044</v>
      </c>
      <c r="F32" s="2">
        <v>283655</v>
      </c>
      <c r="G32" s="2">
        <v>13691</v>
      </c>
      <c r="H32" s="2">
        <v>179556</v>
      </c>
    </row>
    <row r="33" spans="1:8" x14ac:dyDescent="0.25">
      <c r="A33" s="1">
        <v>2007</v>
      </c>
      <c r="B33" s="2">
        <v>2733811</v>
      </c>
      <c r="C33" s="2">
        <v>393016</v>
      </c>
      <c r="D33" s="2">
        <v>1249061</v>
      </c>
      <c r="E33" s="2">
        <v>598579</v>
      </c>
      <c r="F33" s="2">
        <v>288002</v>
      </c>
      <c r="G33" s="2">
        <v>14934</v>
      </c>
      <c r="H33" s="2">
        <v>190219</v>
      </c>
    </row>
    <row r="34" spans="1:8" x14ac:dyDescent="0.25">
      <c r="A34" s="1">
        <v>2008</v>
      </c>
      <c r="B34" s="2">
        <v>2729811</v>
      </c>
      <c r="C34" s="2">
        <v>377088</v>
      </c>
      <c r="D34" s="2">
        <v>1242981</v>
      </c>
      <c r="E34" s="2">
        <v>604388</v>
      </c>
      <c r="F34" s="2">
        <v>288886</v>
      </c>
      <c r="G34" s="2">
        <v>14591</v>
      </c>
      <c r="H34" s="2">
        <v>201877</v>
      </c>
    </row>
    <row r="35" spans="1:8" x14ac:dyDescent="0.25">
      <c r="A35" s="1">
        <v>2009</v>
      </c>
      <c r="B35" s="2">
        <v>2741133</v>
      </c>
      <c r="C35" s="2">
        <v>375857</v>
      </c>
      <c r="D35" s="2">
        <v>1259482</v>
      </c>
      <c r="E35" s="2">
        <v>610745</v>
      </c>
      <c r="F35" s="2">
        <v>289562</v>
      </c>
      <c r="G35" s="2">
        <v>12579</v>
      </c>
      <c r="H35" s="2">
        <v>192908</v>
      </c>
    </row>
    <row r="36" spans="1:8" x14ac:dyDescent="0.25">
      <c r="A36" s="1">
        <v>2010</v>
      </c>
      <c r="B36" s="2">
        <v>2658344</v>
      </c>
      <c r="C36" s="2">
        <v>359681</v>
      </c>
      <c r="D36" s="2">
        <v>1215337</v>
      </c>
      <c r="E36" s="2">
        <v>591879</v>
      </c>
      <c r="F36" s="2">
        <v>283175</v>
      </c>
      <c r="G36" s="2">
        <v>11308</v>
      </c>
      <c r="H36" s="2">
        <v>196964</v>
      </c>
    </row>
    <row r="37" spans="1:8" x14ac:dyDescent="0.25">
      <c r="A37" s="1">
        <v>2011</v>
      </c>
      <c r="B37" s="2">
        <v>2678259</v>
      </c>
      <c r="C37" s="2">
        <v>359057</v>
      </c>
      <c r="D37" s="2">
        <v>1225384</v>
      </c>
      <c r="E37" s="2">
        <v>596384</v>
      </c>
      <c r="F37" s="2">
        <v>281808</v>
      </c>
      <c r="G37" s="2">
        <v>11587</v>
      </c>
      <c r="H37" s="2">
        <v>204039</v>
      </c>
    </row>
    <row r="38" spans="1:8" x14ac:dyDescent="0.25">
      <c r="A38" s="1">
        <v>2012</v>
      </c>
      <c r="B38" s="2">
        <v>2663413</v>
      </c>
      <c r="C38" s="2">
        <v>357136</v>
      </c>
      <c r="D38" s="2">
        <v>1230693</v>
      </c>
      <c r="E38" s="2">
        <v>586955</v>
      </c>
      <c r="F38" s="2">
        <v>273301</v>
      </c>
      <c r="G38" s="2">
        <v>11723</v>
      </c>
      <c r="H38" s="2">
        <v>203605</v>
      </c>
    </row>
    <row r="39" spans="1:8" x14ac:dyDescent="0.25">
      <c r="A39" s="1">
        <v>2013</v>
      </c>
      <c r="B39" s="2">
        <v>2649605</v>
      </c>
      <c r="C39" s="2">
        <v>360104</v>
      </c>
      <c r="D39" s="2">
        <v>1250968</v>
      </c>
      <c r="E39" s="2">
        <v>567384</v>
      </c>
      <c r="F39" s="2">
        <v>254167</v>
      </c>
      <c r="G39" s="2">
        <v>12967</v>
      </c>
      <c r="H39" s="2">
        <v>204015</v>
      </c>
    </row>
    <row r="40" spans="1:8" x14ac:dyDescent="0.25">
      <c r="A40" s="1">
        <v>2014</v>
      </c>
      <c r="B40" s="2">
        <v>2602700</v>
      </c>
      <c r="C40" s="2">
        <v>361332</v>
      </c>
      <c r="D40" s="2">
        <v>1249317</v>
      </c>
      <c r="E40" s="2">
        <v>538156</v>
      </c>
      <c r="F40" s="2">
        <v>229752</v>
      </c>
      <c r="G40" s="2">
        <v>11924</v>
      </c>
      <c r="H40" s="2">
        <v>212219</v>
      </c>
    </row>
    <row r="41" spans="1:8" x14ac:dyDescent="0.25">
      <c r="A41" s="1">
        <v>2015</v>
      </c>
      <c r="B41" s="2">
        <v>2538016</v>
      </c>
      <c r="C41" s="2">
        <v>355307</v>
      </c>
      <c r="D41" s="2">
        <v>1238196</v>
      </c>
      <c r="E41" s="2">
        <v>503488</v>
      </c>
      <c r="F41" s="2">
        <v>200663</v>
      </c>
      <c r="G41" s="2">
        <v>11409</v>
      </c>
      <c r="H41" s="2">
        <v>228953</v>
      </c>
    </row>
  </sheetData>
  <mergeCells count="2">
    <mergeCell ref="A1:A2"/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4C5F-72F3-49F8-8E9D-1AE63FE95352}">
  <dimension ref="A1:H132"/>
  <sheetViews>
    <sheetView topLeftCell="A108" zoomScaleNormal="100" workbookViewId="0">
      <selection activeCell="D57" sqref="D57"/>
    </sheetView>
  </sheetViews>
  <sheetFormatPr defaultRowHeight="15" x14ac:dyDescent="0.25"/>
  <cols>
    <col min="1" max="1" width="8.42578125" bestFit="1" customWidth="1"/>
    <col min="2" max="2" width="32.42578125" bestFit="1" customWidth="1"/>
    <col min="3" max="3" width="30.7109375" bestFit="1" customWidth="1"/>
    <col min="4" max="4" width="15.7109375" bestFit="1" customWidth="1"/>
    <col min="5" max="5" width="12.5703125" bestFit="1" customWidth="1"/>
    <col min="6" max="6" width="32.5703125" bestFit="1" customWidth="1"/>
    <col min="7" max="7" width="14.42578125" bestFit="1" customWidth="1"/>
    <col min="8" max="8" width="45.140625" bestFit="1" customWidth="1"/>
  </cols>
  <sheetData>
    <row r="1" spans="1:8" x14ac:dyDescent="0.25">
      <c r="A1" s="4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44"/>
      <c r="B2" s="44" t="s">
        <v>8</v>
      </c>
      <c r="C2" s="44"/>
      <c r="D2" s="44"/>
      <c r="E2" s="44"/>
      <c r="F2" s="44"/>
      <c r="G2" s="44"/>
      <c r="H2" s="44"/>
    </row>
    <row r="3" spans="1:8" x14ac:dyDescent="0.25">
      <c r="A3" s="4">
        <v>1977</v>
      </c>
      <c r="B3" s="16">
        <v>2343180</v>
      </c>
      <c r="C3" s="16">
        <v>1022379</v>
      </c>
      <c r="D3" s="16">
        <v>1141403</v>
      </c>
      <c r="E3" s="17" t="s">
        <v>9</v>
      </c>
      <c r="F3" s="16">
        <v>84921</v>
      </c>
      <c r="G3" s="16">
        <v>14547</v>
      </c>
      <c r="H3" s="16">
        <v>79930</v>
      </c>
    </row>
    <row r="4" spans="1:8" x14ac:dyDescent="0.25">
      <c r="A4" s="4">
        <v>1978</v>
      </c>
      <c r="B4" s="16">
        <v>2402685</v>
      </c>
      <c r="C4" s="16">
        <v>1004815</v>
      </c>
      <c r="D4" s="16">
        <v>1207135</v>
      </c>
      <c r="E4" s="17" t="s">
        <v>9</v>
      </c>
      <c r="F4" s="16">
        <v>88219</v>
      </c>
      <c r="G4" s="16">
        <v>14962</v>
      </c>
      <c r="H4" s="16">
        <v>87554</v>
      </c>
    </row>
    <row r="5" spans="1:8" x14ac:dyDescent="0.25">
      <c r="A5" s="4">
        <v>1979</v>
      </c>
      <c r="B5" s="16">
        <v>2489372</v>
      </c>
      <c r="C5" s="16">
        <v>1003728</v>
      </c>
      <c r="D5" s="16">
        <v>1284110</v>
      </c>
      <c r="E5" s="17" t="s">
        <v>9</v>
      </c>
      <c r="F5" s="16">
        <v>91989</v>
      </c>
      <c r="G5" s="16">
        <v>15090</v>
      </c>
      <c r="H5" s="16">
        <v>94455</v>
      </c>
    </row>
    <row r="6" spans="1:8" x14ac:dyDescent="0.25">
      <c r="A6" s="4">
        <v>1980</v>
      </c>
      <c r="B6" s="16">
        <v>2521107</v>
      </c>
      <c r="C6" s="16">
        <v>994288</v>
      </c>
      <c r="D6" s="16">
        <v>1324874</v>
      </c>
      <c r="E6" s="17" t="s">
        <v>9</v>
      </c>
      <c r="F6" s="16">
        <v>91025</v>
      </c>
      <c r="G6" s="16">
        <v>14818</v>
      </c>
      <c r="H6" s="16">
        <v>96102</v>
      </c>
    </row>
    <row r="7" spans="1:8" x14ac:dyDescent="0.25">
      <c r="A7" s="4">
        <v>1981</v>
      </c>
      <c r="B7" s="16">
        <v>2533721</v>
      </c>
      <c r="C7" s="16">
        <v>969534</v>
      </c>
      <c r="D7" s="16">
        <v>1369600</v>
      </c>
      <c r="E7" s="17" t="s">
        <v>9</v>
      </c>
      <c r="F7" s="16">
        <v>83680</v>
      </c>
      <c r="G7" s="16">
        <v>14238</v>
      </c>
      <c r="H7" s="16">
        <v>96669</v>
      </c>
    </row>
    <row r="8" spans="1:8" x14ac:dyDescent="0.25">
      <c r="A8" s="4">
        <v>1982</v>
      </c>
      <c r="B8" s="16">
        <v>2554326</v>
      </c>
      <c r="C8" s="16">
        <v>933083</v>
      </c>
      <c r="D8" s="16">
        <v>1433119</v>
      </c>
      <c r="E8" s="17" t="s">
        <v>9</v>
      </c>
      <c r="F8" s="16">
        <v>85583</v>
      </c>
      <c r="G8" s="16">
        <v>13924</v>
      </c>
      <c r="H8" s="16">
        <v>88617</v>
      </c>
    </row>
    <row r="9" spans="1:8" x14ac:dyDescent="0.25">
      <c r="A9" s="4">
        <v>1983</v>
      </c>
      <c r="B9" s="16">
        <v>2553802</v>
      </c>
      <c r="C9" s="16">
        <v>886607</v>
      </c>
      <c r="D9" s="16">
        <v>1478620</v>
      </c>
      <c r="E9" s="17" t="s">
        <v>9</v>
      </c>
      <c r="F9" s="16">
        <v>88031</v>
      </c>
      <c r="G9" s="16">
        <v>14369</v>
      </c>
      <c r="H9" s="16">
        <v>86175</v>
      </c>
    </row>
    <row r="10" spans="1:8" x14ac:dyDescent="0.25">
      <c r="A10" s="4">
        <v>1984</v>
      </c>
      <c r="B10" s="16">
        <v>2562164</v>
      </c>
      <c r="C10" s="16">
        <v>848453</v>
      </c>
      <c r="D10" s="16">
        <v>1517143</v>
      </c>
      <c r="E10" s="17" t="s">
        <v>9</v>
      </c>
      <c r="F10" s="16">
        <v>95328</v>
      </c>
      <c r="G10" s="16">
        <v>13519</v>
      </c>
      <c r="H10" s="16">
        <v>87721</v>
      </c>
    </row>
    <row r="11" spans="1:8" x14ac:dyDescent="0.25">
      <c r="A11" s="4">
        <v>1985</v>
      </c>
      <c r="B11" s="16">
        <v>2555452</v>
      </c>
      <c r="C11" s="16">
        <v>804064</v>
      </c>
      <c r="D11" s="16">
        <v>1541926</v>
      </c>
      <c r="E11" s="17" t="s">
        <v>9</v>
      </c>
      <c r="F11" s="16">
        <v>109222</v>
      </c>
      <c r="G11" s="16">
        <v>13486</v>
      </c>
      <c r="H11" s="16">
        <v>86754</v>
      </c>
    </row>
    <row r="12" spans="1:8" x14ac:dyDescent="0.25">
      <c r="A12" s="4">
        <v>1986</v>
      </c>
      <c r="B12" s="16">
        <v>2607778</v>
      </c>
      <c r="C12" s="16">
        <v>774204</v>
      </c>
      <c r="D12" s="16">
        <v>1604704</v>
      </c>
      <c r="E12" s="17" t="s">
        <v>9</v>
      </c>
      <c r="F12" s="16">
        <v>123676</v>
      </c>
      <c r="G12" s="16">
        <v>13542</v>
      </c>
      <c r="H12" s="16">
        <v>91652</v>
      </c>
    </row>
    <row r="13" spans="1:8" x14ac:dyDescent="0.25">
      <c r="A13" s="4">
        <v>1987</v>
      </c>
      <c r="B13" s="16">
        <v>2668368</v>
      </c>
      <c r="C13" s="16">
        <v>756067</v>
      </c>
      <c r="D13" s="16">
        <v>1653803</v>
      </c>
      <c r="E13" s="17" t="s">
        <v>9</v>
      </c>
      <c r="F13" s="16">
        <v>139059</v>
      </c>
      <c r="G13" s="16">
        <v>13875</v>
      </c>
      <c r="H13" s="16">
        <v>105564</v>
      </c>
    </row>
    <row r="14" spans="1:8" x14ac:dyDescent="0.25">
      <c r="A14" s="4">
        <v>1988</v>
      </c>
      <c r="B14" s="16">
        <v>2664824</v>
      </c>
      <c r="C14" s="16">
        <v>719301</v>
      </c>
      <c r="D14" s="16">
        <v>1679403</v>
      </c>
      <c r="E14" s="17" t="s">
        <v>9</v>
      </c>
      <c r="F14" s="16">
        <v>145473</v>
      </c>
      <c r="G14" s="16">
        <v>13622</v>
      </c>
      <c r="H14" s="16">
        <v>107025</v>
      </c>
    </row>
    <row r="15" spans="1:8" x14ac:dyDescent="0.25">
      <c r="A15" s="4">
        <v>1989</v>
      </c>
      <c r="B15" s="16">
        <v>2629448</v>
      </c>
      <c r="C15" s="16">
        <v>660963</v>
      </c>
      <c r="D15" s="16">
        <v>1689988</v>
      </c>
      <c r="E15" s="17" t="s">
        <v>9</v>
      </c>
      <c r="F15" s="16">
        <v>157855</v>
      </c>
      <c r="G15" s="16">
        <v>13613</v>
      </c>
      <c r="H15" s="16">
        <v>107029</v>
      </c>
    </row>
    <row r="16" spans="1:8" x14ac:dyDescent="0.25">
      <c r="A16" s="4">
        <v>1990</v>
      </c>
      <c r="B16" s="16">
        <v>2643558</v>
      </c>
      <c r="C16" s="16">
        <v>607449</v>
      </c>
      <c r="D16" s="16">
        <v>1577450</v>
      </c>
      <c r="E16" s="16">
        <v>161985</v>
      </c>
      <c r="F16" s="16">
        <v>175371</v>
      </c>
      <c r="G16" s="16">
        <v>13426</v>
      </c>
      <c r="H16" s="16">
        <v>107877</v>
      </c>
    </row>
    <row r="17" spans="1:8" x14ac:dyDescent="0.25">
      <c r="A17" s="4">
        <v>1991</v>
      </c>
      <c r="B17" s="16">
        <v>2649943</v>
      </c>
      <c r="C17" s="16">
        <v>558995</v>
      </c>
      <c r="D17" s="16">
        <v>1564354</v>
      </c>
      <c r="E17" s="16">
        <v>238890</v>
      </c>
      <c r="F17" s="16">
        <v>178694</v>
      </c>
      <c r="G17" s="16">
        <v>13030</v>
      </c>
      <c r="H17" s="16">
        <v>95980</v>
      </c>
    </row>
    <row r="18" spans="1:8" x14ac:dyDescent="0.25">
      <c r="A18" s="4">
        <v>1992</v>
      </c>
      <c r="B18" s="16">
        <v>2626795</v>
      </c>
      <c r="C18" s="16">
        <v>522502</v>
      </c>
      <c r="D18" s="16">
        <v>1531546</v>
      </c>
      <c r="E18" s="16">
        <v>289474</v>
      </c>
      <c r="F18" s="16">
        <v>177617</v>
      </c>
      <c r="G18" s="16">
        <v>12593</v>
      </c>
      <c r="H18" s="16">
        <v>93063</v>
      </c>
    </row>
    <row r="19" spans="1:8" x14ac:dyDescent="0.25">
      <c r="A19" s="4">
        <v>1993</v>
      </c>
      <c r="B19" s="16">
        <v>2578540</v>
      </c>
      <c r="C19" s="16">
        <v>492256</v>
      </c>
      <c r="D19" s="16">
        <v>1480648</v>
      </c>
      <c r="E19" s="16">
        <v>319063</v>
      </c>
      <c r="F19" s="16">
        <v>177526</v>
      </c>
      <c r="G19" s="16">
        <v>12026</v>
      </c>
      <c r="H19" s="16">
        <v>97021</v>
      </c>
    </row>
    <row r="20" spans="1:8" x14ac:dyDescent="0.25">
      <c r="A20" s="4">
        <v>1994</v>
      </c>
      <c r="B20" s="16">
        <v>2633063</v>
      </c>
      <c r="C20" s="16">
        <v>487423</v>
      </c>
      <c r="D20" s="16">
        <v>1454605</v>
      </c>
      <c r="E20" s="16">
        <v>377113</v>
      </c>
      <c r="F20" s="16">
        <v>191495</v>
      </c>
      <c r="G20" s="16">
        <v>12036</v>
      </c>
      <c r="H20" s="16">
        <v>110391</v>
      </c>
    </row>
    <row r="21" spans="1:8" x14ac:dyDescent="0.25">
      <c r="A21" s="4">
        <v>1995</v>
      </c>
      <c r="B21" s="16">
        <v>2646555</v>
      </c>
      <c r="C21" s="16">
        <v>467047</v>
      </c>
      <c r="D21" s="16">
        <v>1415779</v>
      </c>
      <c r="E21" s="16">
        <v>419465</v>
      </c>
      <c r="F21" s="16">
        <v>213774</v>
      </c>
      <c r="G21" s="16">
        <v>12333</v>
      </c>
      <c r="H21" s="16">
        <v>118157</v>
      </c>
    </row>
    <row r="22" spans="1:8" x14ac:dyDescent="0.25">
      <c r="A22" s="4">
        <v>1996</v>
      </c>
      <c r="B22" s="16">
        <v>2666459</v>
      </c>
      <c r="C22" s="16">
        <v>455962</v>
      </c>
      <c r="D22" s="16">
        <v>1394336</v>
      </c>
      <c r="E22" s="16">
        <v>457720</v>
      </c>
      <c r="F22" s="16">
        <v>229698</v>
      </c>
      <c r="G22" s="16">
        <v>11837</v>
      </c>
      <c r="H22" s="16">
        <v>116906</v>
      </c>
    </row>
    <row r="23" spans="1:8" x14ac:dyDescent="0.25">
      <c r="A23" s="4">
        <v>1997</v>
      </c>
      <c r="B23" s="16">
        <v>2665829</v>
      </c>
      <c r="C23" s="16">
        <v>449221</v>
      </c>
      <c r="D23" s="16">
        <v>1360127</v>
      </c>
      <c r="E23" s="16">
        <v>484241</v>
      </c>
      <c r="F23" s="16">
        <v>240626</v>
      </c>
      <c r="G23" s="16">
        <v>11360</v>
      </c>
      <c r="H23" s="16">
        <v>120254</v>
      </c>
    </row>
    <row r="24" spans="1:8" x14ac:dyDescent="0.25">
      <c r="A24" s="4">
        <v>1998</v>
      </c>
      <c r="B24" s="16">
        <v>2676966</v>
      </c>
      <c r="C24" s="16">
        <v>445719</v>
      </c>
      <c r="D24" s="16">
        <v>1347497</v>
      </c>
      <c r="E24" s="16">
        <v>494851</v>
      </c>
      <c r="F24" s="16">
        <v>247758</v>
      </c>
      <c r="G24" s="16">
        <v>13084</v>
      </c>
      <c r="H24" s="16">
        <v>128057</v>
      </c>
    </row>
    <row r="25" spans="1:8" x14ac:dyDescent="0.25">
      <c r="A25" s="4">
        <v>1999</v>
      </c>
      <c r="B25" s="16">
        <v>2667219</v>
      </c>
      <c r="C25" s="16">
        <v>429496</v>
      </c>
      <c r="D25" s="16">
        <v>1325097</v>
      </c>
      <c r="E25" s="16">
        <v>503338</v>
      </c>
      <c r="F25" s="16">
        <v>254327</v>
      </c>
      <c r="G25" s="16">
        <v>13067</v>
      </c>
      <c r="H25" s="16">
        <v>141894</v>
      </c>
    </row>
    <row r="26" spans="1:8" x14ac:dyDescent="0.25">
      <c r="A26" s="4">
        <v>2000</v>
      </c>
      <c r="B26" s="16">
        <v>2706966</v>
      </c>
      <c r="C26" s="16">
        <v>435774</v>
      </c>
      <c r="D26" s="16">
        <v>1326772</v>
      </c>
      <c r="E26" s="16">
        <v>529536</v>
      </c>
      <c r="F26" s="16">
        <v>263597</v>
      </c>
      <c r="G26" s="16">
        <v>12040</v>
      </c>
      <c r="H26" s="16">
        <v>139247</v>
      </c>
    </row>
    <row r="27" spans="1:8" x14ac:dyDescent="0.25">
      <c r="A27" s="4">
        <v>2001</v>
      </c>
      <c r="B27" s="16">
        <v>2704883</v>
      </c>
      <c r="C27" s="16">
        <v>440405</v>
      </c>
      <c r="D27" s="16">
        <v>1296712</v>
      </c>
      <c r="E27" s="16">
        <v>533865</v>
      </c>
      <c r="F27" s="16">
        <v>270706</v>
      </c>
      <c r="G27" s="16">
        <v>12048</v>
      </c>
      <c r="H27" s="16">
        <v>151147</v>
      </c>
    </row>
    <row r="28" spans="1:8" x14ac:dyDescent="0.25">
      <c r="A28" s="4">
        <v>2002</v>
      </c>
      <c r="B28" s="16">
        <v>2683417</v>
      </c>
      <c r="C28" s="16">
        <v>424771</v>
      </c>
      <c r="D28" s="16">
        <v>1272619</v>
      </c>
      <c r="E28" s="16">
        <v>540836</v>
      </c>
      <c r="F28" s="16">
        <v>277006</v>
      </c>
      <c r="G28" s="16">
        <v>13217</v>
      </c>
      <c r="H28" s="16">
        <v>154968</v>
      </c>
    </row>
    <row r="29" spans="1:8" x14ac:dyDescent="0.25">
      <c r="A29" s="4">
        <v>2003</v>
      </c>
      <c r="B29" s="16">
        <v>2698258</v>
      </c>
      <c r="C29" s="16">
        <v>425547</v>
      </c>
      <c r="D29" s="16">
        <v>1276046</v>
      </c>
      <c r="E29" s="16">
        <v>552390</v>
      </c>
      <c r="F29" s="16">
        <v>270260</v>
      </c>
      <c r="G29" s="16">
        <v>13528</v>
      </c>
      <c r="H29" s="16">
        <v>160487</v>
      </c>
    </row>
    <row r="30" spans="1:8" x14ac:dyDescent="0.25">
      <c r="A30" s="4">
        <v>2004</v>
      </c>
      <c r="B30" s="16">
        <v>2733795</v>
      </c>
      <c r="C30" s="16">
        <v>418017</v>
      </c>
      <c r="D30" s="16">
        <v>1281205</v>
      </c>
      <c r="E30" s="16">
        <v>572017</v>
      </c>
      <c r="F30" s="16">
        <v>276051</v>
      </c>
      <c r="G30" s="16">
        <v>14144</v>
      </c>
      <c r="H30" s="16">
        <v>172361</v>
      </c>
    </row>
    <row r="31" spans="1:8" x14ac:dyDescent="0.25">
      <c r="A31" s="4">
        <v>2005</v>
      </c>
      <c r="B31" s="16">
        <v>2707350</v>
      </c>
      <c r="C31" s="16">
        <v>406704</v>
      </c>
      <c r="D31" s="16">
        <v>1251785</v>
      </c>
      <c r="E31" s="16">
        <v>576368</v>
      </c>
      <c r="F31" s="16">
        <v>282227</v>
      </c>
      <c r="G31" s="16">
        <v>13619</v>
      </c>
      <c r="H31" s="16">
        <v>176647</v>
      </c>
    </row>
    <row r="32" spans="1:8" x14ac:dyDescent="0.25">
      <c r="A32" s="4">
        <v>2006</v>
      </c>
      <c r="B32" s="16">
        <v>2721462</v>
      </c>
      <c r="C32" s="16">
        <v>402461</v>
      </c>
      <c r="D32" s="16">
        <v>1252055</v>
      </c>
      <c r="E32" s="16">
        <v>590044</v>
      </c>
      <c r="F32" s="16">
        <v>283655</v>
      </c>
      <c r="G32" s="16">
        <v>13691</v>
      </c>
      <c r="H32" s="16">
        <v>179556</v>
      </c>
    </row>
    <row r="33" spans="1:8" x14ac:dyDescent="0.25">
      <c r="A33" s="4">
        <v>2007</v>
      </c>
      <c r="B33" s="16">
        <v>2733811</v>
      </c>
      <c r="C33" s="16">
        <v>393016</v>
      </c>
      <c r="D33" s="16">
        <v>1249061</v>
      </c>
      <c r="E33" s="16">
        <v>598579</v>
      </c>
      <c r="F33" s="16">
        <v>288002</v>
      </c>
      <c r="G33" s="16">
        <v>14934</v>
      </c>
      <c r="H33" s="16">
        <v>190219</v>
      </c>
    </row>
    <row r="34" spans="1:8" x14ac:dyDescent="0.25">
      <c r="A34" s="4">
        <v>2008</v>
      </c>
      <c r="B34" s="16">
        <v>2729811</v>
      </c>
      <c r="C34" s="16">
        <v>377088</v>
      </c>
      <c r="D34" s="16">
        <v>1242981</v>
      </c>
      <c r="E34" s="16">
        <v>604388</v>
      </c>
      <c r="F34" s="16">
        <v>288886</v>
      </c>
      <c r="G34" s="16">
        <v>14591</v>
      </c>
      <c r="H34" s="16">
        <v>201877</v>
      </c>
    </row>
    <row r="35" spans="1:8" x14ac:dyDescent="0.25">
      <c r="A35" s="4">
        <v>2009</v>
      </c>
      <c r="B35" s="16">
        <v>2741133</v>
      </c>
      <c r="C35" s="16">
        <v>375857</v>
      </c>
      <c r="D35" s="16">
        <v>1259482</v>
      </c>
      <c r="E35" s="16">
        <v>610745</v>
      </c>
      <c r="F35" s="16">
        <v>289562</v>
      </c>
      <c r="G35" s="16">
        <v>12579</v>
      </c>
      <c r="H35" s="16">
        <v>192908</v>
      </c>
    </row>
    <row r="36" spans="1:8" x14ac:dyDescent="0.25">
      <c r="A36" s="4">
        <v>2010</v>
      </c>
      <c r="B36" s="16">
        <v>2658344</v>
      </c>
      <c r="C36" s="16">
        <v>359681</v>
      </c>
      <c r="D36" s="16">
        <v>1215337</v>
      </c>
      <c r="E36" s="16">
        <v>591879</v>
      </c>
      <c r="F36" s="16">
        <v>283175</v>
      </c>
      <c r="G36" s="16">
        <v>11308</v>
      </c>
      <c r="H36" s="16">
        <v>196964</v>
      </c>
    </row>
    <row r="37" spans="1:8" x14ac:dyDescent="0.25">
      <c r="A37" s="4">
        <v>2011</v>
      </c>
      <c r="B37" s="16">
        <v>2678259</v>
      </c>
      <c r="C37" s="16">
        <v>359057</v>
      </c>
      <c r="D37" s="16">
        <v>1225384</v>
      </c>
      <c r="E37" s="16">
        <v>596384</v>
      </c>
      <c r="F37" s="16">
        <v>281808</v>
      </c>
      <c r="G37" s="16">
        <v>11587</v>
      </c>
      <c r="H37" s="16">
        <v>204039</v>
      </c>
    </row>
    <row r="38" spans="1:8" x14ac:dyDescent="0.25">
      <c r="A38" s="4">
        <v>2012</v>
      </c>
      <c r="B38" s="16">
        <v>2663413</v>
      </c>
      <c r="C38" s="16">
        <v>357136</v>
      </c>
      <c r="D38" s="16">
        <v>1230693</v>
      </c>
      <c r="E38" s="16">
        <v>586955</v>
      </c>
      <c r="F38" s="16">
        <v>273301</v>
      </c>
      <c r="G38" s="16">
        <v>11723</v>
      </c>
      <c r="H38" s="16">
        <v>203605</v>
      </c>
    </row>
    <row r="39" spans="1:8" x14ac:dyDescent="0.25">
      <c r="A39" s="4">
        <v>2013</v>
      </c>
      <c r="B39" s="16">
        <v>2649605</v>
      </c>
      <c r="C39" s="16">
        <v>360104</v>
      </c>
      <c r="D39" s="16">
        <v>1250968</v>
      </c>
      <c r="E39" s="16">
        <v>567384</v>
      </c>
      <c r="F39" s="16">
        <v>254167</v>
      </c>
      <c r="G39" s="16">
        <v>12967</v>
      </c>
      <c r="H39" s="16">
        <v>204015</v>
      </c>
    </row>
    <row r="40" spans="1:8" x14ac:dyDescent="0.25">
      <c r="A40" s="4">
        <v>2014</v>
      </c>
      <c r="B40" s="16">
        <v>2602700</v>
      </c>
      <c r="C40" s="16">
        <v>361332</v>
      </c>
      <c r="D40" s="16">
        <v>1249317</v>
      </c>
      <c r="E40" s="16">
        <v>538156</v>
      </c>
      <c r="F40" s="16">
        <v>229752</v>
      </c>
      <c r="G40" s="16">
        <v>11924</v>
      </c>
      <c r="H40" s="16">
        <v>212219</v>
      </c>
    </row>
    <row r="41" spans="1:8" x14ac:dyDescent="0.25">
      <c r="A41" s="4">
        <v>2015</v>
      </c>
      <c r="B41" s="16">
        <v>2538016</v>
      </c>
      <c r="C41" s="16">
        <v>355307</v>
      </c>
      <c r="D41" s="16">
        <v>1238196</v>
      </c>
      <c r="E41" s="16">
        <v>503488</v>
      </c>
      <c r="F41" s="16">
        <v>200663</v>
      </c>
      <c r="G41" s="16">
        <v>11409</v>
      </c>
      <c r="H41" s="16">
        <v>228953</v>
      </c>
    </row>
    <row r="49" spans="1:8" x14ac:dyDescent="0.25">
      <c r="A49" s="9" t="s">
        <v>0</v>
      </c>
      <c r="B49" s="5" t="s">
        <v>1</v>
      </c>
      <c r="C49" s="5" t="s">
        <v>2</v>
      </c>
      <c r="D49" s="5" t="s">
        <v>3</v>
      </c>
      <c r="E49" s="5" t="s">
        <v>4</v>
      </c>
      <c r="F49" s="5" t="s">
        <v>5</v>
      </c>
      <c r="G49" s="5" t="s">
        <v>6</v>
      </c>
      <c r="H49" s="5" t="s">
        <v>7</v>
      </c>
    </row>
    <row r="50" spans="1:8" x14ac:dyDescent="0.25">
      <c r="A50" s="6">
        <v>2013</v>
      </c>
      <c r="B50" s="7">
        <v>2649605</v>
      </c>
      <c r="C50" s="7">
        <v>360104</v>
      </c>
      <c r="D50" s="7">
        <v>1250968</v>
      </c>
      <c r="E50" s="7">
        <v>567384</v>
      </c>
      <c r="F50" s="7">
        <v>254167</v>
      </c>
      <c r="G50" s="7">
        <v>12967</v>
      </c>
      <c r="H50" s="7">
        <v>204015</v>
      </c>
    </row>
    <row r="51" spans="1:8" x14ac:dyDescent="0.25">
      <c r="A51" s="6">
        <v>2015</v>
      </c>
      <c r="B51" s="7">
        <v>2538016</v>
      </c>
      <c r="C51" s="7">
        <v>355307</v>
      </c>
      <c r="D51" s="7">
        <v>1238196</v>
      </c>
      <c r="E51" s="7">
        <v>503488</v>
      </c>
      <c r="F51" s="7">
        <v>200663</v>
      </c>
      <c r="G51" s="7">
        <v>11409</v>
      </c>
      <c r="H51" s="7">
        <v>228953</v>
      </c>
    </row>
    <row r="56" spans="1:8" x14ac:dyDescent="0.25">
      <c r="B56" s="11" t="s">
        <v>10</v>
      </c>
      <c r="C56" s="11">
        <v>2013</v>
      </c>
      <c r="D56" s="11" t="s">
        <v>12</v>
      </c>
      <c r="E56" s="11">
        <v>2015</v>
      </c>
      <c r="F56" s="11" t="s">
        <v>13</v>
      </c>
    </row>
    <row r="57" spans="1:8" x14ac:dyDescent="0.25">
      <c r="B57" s="10" t="s">
        <v>2</v>
      </c>
      <c r="C57" s="12">
        <f>_xlfn.XLOOKUP(B57,$C$49:$H$49,$C$50:$H$50,"Not Found",0,)</f>
        <v>360104</v>
      </c>
      <c r="D57" s="14">
        <f>C57/$C$63</f>
        <v>0.13590855995516313</v>
      </c>
      <c r="E57" s="12">
        <f t="shared" ref="E57:E62" si="0">_xlfn.XLOOKUP(B57,$C$49:$H$49,$C$51:$H$51,"Not Found",0,)</f>
        <v>355307</v>
      </c>
      <c r="F57" s="14">
        <f>E57/$E$63</f>
        <v>0.13999399530972223</v>
      </c>
    </row>
    <row r="58" spans="1:8" x14ac:dyDescent="0.25">
      <c r="B58" s="10" t="s">
        <v>3</v>
      </c>
      <c r="C58" s="12">
        <f t="shared" ref="C58:C62" si="1">_xlfn.XLOOKUP(B58,$C$49:$H$49,$C$50:$H$50,"Not Found",0,)</f>
        <v>1250968</v>
      </c>
      <c r="D58" s="14">
        <f t="shared" ref="D58:D63" si="2">C58/$C$63</f>
        <v>0.47213377088282971</v>
      </c>
      <c r="E58" s="12">
        <f t="shared" si="0"/>
        <v>1238196</v>
      </c>
      <c r="F58" s="14">
        <f t="shared" ref="F58:F63" si="3">E58/$E$63</f>
        <v>0.48785980860640754</v>
      </c>
    </row>
    <row r="59" spans="1:8" x14ac:dyDescent="0.25">
      <c r="B59" s="10" t="s">
        <v>4</v>
      </c>
      <c r="C59" s="12">
        <f t="shared" si="1"/>
        <v>567384</v>
      </c>
      <c r="D59" s="14">
        <f t="shared" si="2"/>
        <v>0.21413908865661108</v>
      </c>
      <c r="E59" s="12">
        <f t="shared" si="0"/>
        <v>503488</v>
      </c>
      <c r="F59" s="14">
        <f t="shared" si="3"/>
        <v>0.19837857602158537</v>
      </c>
    </row>
    <row r="60" spans="1:8" x14ac:dyDescent="0.25">
      <c r="B60" s="10" t="s">
        <v>5</v>
      </c>
      <c r="C60" s="12">
        <f t="shared" si="1"/>
        <v>254167</v>
      </c>
      <c r="D60" s="14">
        <f t="shared" si="2"/>
        <v>9.5926373931208619E-2</v>
      </c>
      <c r="E60" s="12">
        <f t="shared" si="0"/>
        <v>200663</v>
      </c>
      <c r="F60" s="14">
        <f t="shared" si="3"/>
        <v>7.9062937349488729E-2</v>
      </c>
    </row>
    <row r="61" spans="1:8" x14ac:dyDescent="0.25">
      <c r="B61" s="10" t="s">
        <v>6</v>
      </c>
      <c r="C61" s="12">
        <f t="shared" si="1"/>
        <v>12967</v>
      </c>
      <c r="D61" s="14">
        <f t="shared" si="2"/>
        <v>4.8939370208012142E-3</v>
      </c>
      <c r="E61" s="12">
        <f t="shared" si="0"/>
        <v>11409</v>
      </c>
      <c r="F61" s="14">
        <f t="shared" si="3"/>
        <v>4.4952435288036011E-3</v>
      </c>
    </row>
    <row r="62" spans="1:8" x14ac:dyDescent="0.25">
      <c r="B62" s="10" t="s">
        <v>7</v>
      </c>
      <c r="C62" s="12">
        <f t="shared" si="1"/>
        <v>204015</v>
      </c>
      <c r="D62" s="14">
        <f t="shared" si="2"/>
        <v>7.6998269553386262E-2</v>
      </c>
      <c r="E62" s="12">
        <f t="shared" si="0"/>
        <v>228953</v>
      </c>
      <c r="F62" s="14">
        <f t="shared" si="3"/>
        <v>9.0209439183992532E-2</v>
      </c>
    </row>
    <row r="63" spans="1:8" x14ac:dyDescent="0.25">
      <c r="B63" s="10" t="s">
        <v>11</v>
      </c>
      <c r="C63" s="13">
        <f>SUM(C57:C62)</f>
        <v>2649605</v>
      </c>
      <c r="D63" s="14">
        <f t="shared" si="2"/>
        <v>1</v>
      </c>
      <c r="E63" s="13">
        <f>SUM(E57:E62)</f>
        <v>2538016</v>
      </c>
      <c r="F63" s="14">
        <f t="shared" si="3"/>
        <v>1</v>
      </c>
    </row>
    <row r="70" spans="2:4" x14ac:dyDescent="0.25">
      <c r="B70" s="11" t="s">
        <v>10</v>
      </c>
      <c r="C70" s="11" t="s">
        <v>15</v>
      </c>
      <c r="D70" s="11" t="s">
        <v>14</v>
      </c>
    </row>
    <row r="71" spans="2:4" x14ac:dyDescent="0.25">
      <c r="B71" s="10" t="s">
        <v>2</v>
      </c>
      <c r="C71" s="18">
        <f>E57-C57</f>
        <v>-4797</v>
      </c>
      <c r="D71" s="20">
        <f>F57-D57</f>
        <v>4.0854353545591027E-3</v>
      </c>
    </row>
    <row r="72" spans="2:4" x14ac:dyDescent="0.25">
      <c r="B72" s="10" t="s">
        <v>3</v>
      </c>
      <c r="C72" s="18">
        <f t="shared" ref="C72:C76" si="4">E58-C58</f>
        <v>-12772</v>
      </c>
      <c r="D72" s="20">
        <f t="shared" ref="D72:D76" si="5">F58-D58</f>
        <v>1.5726037723577835E-2</v>
      </c>
    </row>
    <row r="73" spans="2:4" x14ac:dyDescent="0.25">
      <c r="B73" s="10" t="s">
        <v>4</v>
      </c>
      <c r="C73" s="18">
        <f t="shared" si="4"/>
        <v>-63896</v>
      </c>
      <c r="D73" s="20">
        <f t="shared" si="5"/>
        <v>-1.5760512635025703E-2</v>
      </c>
    </row>
    <row r="74" spans="2:4" x14ac:dyDescent="0.25">
      <c r="B74" s="10" t="s">
        <v>5</v>
      </c>
      <c r="C74" s="18">
        <f t="shared" si="4"/>
        <v>-53504</v>
      </c>
      <c r="D74" s="20">
        <f t="shared" si="5"/>
        <v>-1.686343658171989E-2</v>
      </c>
    </row>
    <row r="75" spans="2:4" x14ac:dyDescent="0.25">
      <c r="B75" s="10" t="s">
        <v>6</v>
      </c>
      <c r="C75" s="18">
        <f t="shared" si="4"/>
        <v>-1558</v>
      </c>
      <c r="D75" s="20">
        <f t="shared" si="5"/>
        <v>-3.986934919976131E-4</v>
      </c>
    </row>
    <row r="76" spans="2:4" x14ac:dyDescent="0.25">
      <c r="B76" s="10" t="s">
        <v>7</v>
      </c>
      <c r="C76" s="18">
        <f t="shared" si="4"/>
        <v>24938</v>
      </c>
      <c r="D76" s="20">
        <f t="shared" si="5"/>
        <v>1.321116963060627E-2</v>
      </c>
    </row>
    <row r="77" spans="2:4" x14ac:dyDescent="0.25">
      <c r="B77" s="10" t="s">
        <v>11</v>
      </c>
      <c r="C77" s="19">
        <f>SUM(C71:C76)</f>
        <v>-111589</v>
      </c>
      <c r="D77" s="13"/>
    </row>
    <row r="108" spans="1:1" ht="16.5" x14ac:dyDescent="0.25">
      <c r="A108" s="21" t="s">
        <v>26</v>
      </c>
    </row>
    <row r="110" spans="1:1" ht="16.5" x14ac:dyDescent="0.25">
      <c r="A110" s="21" t="s">
        <v>25</v>
      </c>
    </row>
    <row r="112" spans="1:1" ht="16.5" x14ac:dyDescent="0.25">
      <c r="A112" s="21" t="s">
        <v>24</v>
      </c>
    </row>
    <row r="114" spans="1:2" ht="16.5" x14ac:dyDescent="0.25">
      <c r="A114" s="21" t="s">
        <v>23</v>
      </c>
    </row>
    <row r="115" spans="1:2" ht="16.5" x14ac:dyDescent="0.25">
      <c r="B115" s="21" t="s">
        <v>16</v>
      </c>
    </row>
    <row r="118" spans="1:2" ht="16.5" x14ac:dyDescent="0.25">
      <c r="A118" s="21" t="s">
        <v>22</v>
      </c>
    </row>
    <row r="119" spans="1:2" ht="18.75" x14ac:dyDescent="0.3">
      <c r="B119" s="22" t="s">
        <v>17</v>
      </c>
    </row>
    <row r="120" spans="1:2" ht="18.75" x14ac:dyDescent="0.3">
      <c r="B120" s="22" t="s">
        <v>18</v>
      </c>
    </row>
    <row r="121" spans="1:2" ht="18.75" x14ac:dyDescent="0.3">
      <c r="B121" s="22" t="s">
        <v>19</v>
      </c>
    </row>
    <row r="122" spans="1:2" ht="18.75" x14ac:dyDescent="0.3">
      <c r="B122" s="22" t="s">
        <v>20</v>
      </c>
    </row>
    <row r="123" spans="1:2" ht="16.5" x14ac:dyDescent="0.25">
      <c r="A123" s="21" t="s">
        <v>21</v>
      </c>
    </row>
    <row r="127" spans="1:2" ht="16.5" x14ac:dyDescent="0.25">
      <c r="A127" s="23" t="s">
        <v>27</v>
      </c>
      <c r="B127" s="21"/>
    </row>
    <row r="128" spans="1:2" ht="16.5" x14ac:dyDescent="0.25">
      <c r="A128" s="21"/>
      <c r="B128" s="23" t="s">
        <v>28</v>
      </c>
    </row>
    <row r="129" spans="1:2" ht="16.5" x14ac:dyDescent="0.25">
      <c r="A129" s="21"/>
      <c r="B129" s="23" t="s">
        <v>29</v>
      </c>
    </row>
    <row r="130" spans="1:2" ht="16.5" x14ac:dyDescent="0.25">
      <c r="A130" s="21"/>
      <c r="B130" s="23" t="s">
        <v>30</v>
      </c>
    </row>
    <row r="131" spans="1:2" ht="16.5" x14ac:dyDescent="0.25">
      <c r="A131" s="21"/>
      <c r="B131" s="23" t="s">
        <v>31</v>
      </c>
    </row>
    <row r="132" spans="1:2" ht="16.5" x14ac:dyDescent="0.25">
      <c r="A132" s="21"/>
      <c r="B132" s="23" t="s">
        <v>32</v>
      </c>
    </row>
  </sheetData>
  <mergeCells count="2">
    <mergeCell ref="A1:A2"/>
    <mergeCell ref="B2:H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60D6-1444-4F5D-B0CB-7E636E3B9300}">
  <dimension ref="A1:W157"/>
  <sheetViews>
    <sheetView topLeftCell="A4" zoomScale="55" zoomScaleNormal="55" workbookViewId="0">
      <selection activeCell="F44" sqref="F44"/>
    </sheetView>
  </sheetViews>
  <sheetFormatPr defaultRowHeight="15" x14ac:dyDescent="0.25"/>
  <cols>
    <col min="1" max="1" width="13.42578125" customWidth="1"/>
    <col min="2" max="2" width="33.28515625" bestFit="1" customWidth="1"/>
    <col min="9" max="9" width="32.42578125" bestFit="1" customWidth="1"/>
    <col min="10" max="11" width="9.28515625" bestFit="1" customWidth="1"/>
    <col min="12" max="12" width="22.5703125" bestFit="1" customWidth="1"/>
    <col min="13" max="13" width="9.7109375" bestFit="1" customWidth="1"/>
    <col min="14" max="14" width="10.42578125" bestFit="1" customWidth="1"/>
    <col min="15" max="15" width="33.28515625" bestFit="1" customWidth="1"/>
    <col min="16" max="16" width="22.5703125" bestFit="1" customWidth="1"/>
    <col min="17" max="17" width="13.7109375" bestFit="1" customWidth="1"/>
    <col min="18" max="18" width="12.5703125" bestFit="1" customWidth="1"/>
    <col min="19" max="19" width="13.7109375" bestFit="1" customWidth="1"/>
    <col min="20" max="20" width="19.140625" bestFit="1" customWidth="1"/>
    <col min="21" max="21" width="13.7109375" bestFit="1" customWidth="1"/>
    <col min="22" max="22" width="17.7109375" bestFit="1" customWidth="1"/>
    <col min="23" max="23" width="18.7109375" bestFit="1" customWidth="1"/>
  </cols>
  <sheetData>
    <row r="1" spans="1:15" x14ac:dyDescent="0.25">
      <c r="A1" s="8" t="s">
        <v>0</v>
      </c>
      <c r="B1" s="5" t="s">
        <v>62</v>
      </c>
      <c r="C1" s="5" t="s">
        <v>63</v>
      </c>
      <c r="I1" s="27" t="s">
        <v>0</v>
      </c>
      <c r="J1" s="4" t="s">
        <v>2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</row>
    <row r="2" spans="1:15" x14ac:dyDescent="0.25">
      <c r="A2" s="6">
        <v>1990</v>
      </c>
      <c r="B2" s="10" t="s">
        <v>2</v>
      </c>
      <c r="C2" s="7" cm="1">
        <f t="array" ref="C2">_xlfn.XLOOKUP(A2,$I$2:$I$27,_xlfn.XLOOKUP(B2,$J$1:$O$1,$J$2:$O$27))</f>
        <v>607449</v>
      </c>
      <c r="I2" s="31">
        <v>1990</v>
      </c>
      <c r="J2" s="2">
        <v>607449</v>
      </c>
      <c r="K2" s="2">
        <v>1577450</v>
      </c>
      <c r="L2" s="2">
        <v>161985</v>
      </c>
      <c r="M2" s="2">
        <v>175371</v>
      </c>
      <c r="N2" s="2">
        <v>13426</v>
      </c>
      <c r="O2" s="2">
        <v>107877</v>
      </c>
    </row>
    <row r="3" spans="1:15" x14ac:dyDescent="0.25">
      <c r="A3" s="6">
        <v>1990</v>
      </c>
      <c r="B3" s="10" t="s">
        <v>3</v>
      </c>
      <c r="C3" s="7" cm="1">
        <f t="array" ref="C3">_xlfn.XLOOKUP(A3,$I$2:$I$27,_xlfn.XLOOKUP(B3,$J$1:$O$1,$J$2:$O$27))</f>
        <v>1577450</v>
      </c>
      <c r="I3" s="31">
        <v>1991</v>
      </c>
      <c r="J3" s="2">
        <v>558995</v>
      </c>
      <c r="K3" s="2">
        <v>1564354</v>
      </c>
      <c r="L3" s="2">
        <v>238890</v>
      </c>
      <c r="M3" s="2">
        <v>178694</v>
      </c>
      <c r="N3" s="2">
        <v>13030</v>
      </c>
      <c r="O3" s="2">
        <v>95980</v>
      </c>
    </row>
    <row r="4" spans="1:15" x14ac:dyDescent="0.25">
      <c r="A4" s="6">
        <v>1990</v>
      </c>
      <c r="B4" s="10" t="s">
        <v>4</v>
      </c>
      <c r="C4" s="7" cm="1">
        <f t="array" ref="C4">_xlfn.XLOOKUP(A4,$I$2:$I$27,_xlfn.XLOOKUP(B4,$J$1:$O$1,$J$2:$O$27))</f>
        <v>161985</v>
      </c>
      <c r="I4" s="31">
        <v>1992</v>
      </c>
      <c r="J4" s="2">
        <v>522502</v>
      </c>
      <c r="K4" s="2">
        <v>1531546</v>
      </c>
      <c r="L4" s="2">
        <v>289474</v>
      </c>
      <c r="M4" s="2">
        <v>177617</v>
      </c>
      <c r="N4" s="2">
        <v>12593</v>
      </c>
      <c r="O4" s="2">
        <v>93063</v>
      </c>
    </row>
    <row r="5" spans="1:15" x14ac:dyDescent="0.25">
      <c r="A5" s="6">
        <v>1990</v>
      </c>
      <c r="B5" s="10" t="s">
        <v>5</v>
      </c>
      <c r="C5" s="7" cm="1">
        <f t="array" ref="C5">_xlfn.XLOOKUP(A5,$I$2:$I$27,_xlfn.XLOOKUP(B5,$J$1:$O$1,$J$2:$O$27))</f>
        <v>175371</v>
      </c>
      <c r="I5" s="31">
        <v>1993</v>
      </c>
      <c r="J5" s="2">
        <v>492256</v>
      </c>
      <c r="K5" s="2">
        <v>1480648</v>
      </c>
      <c r="L5" s="2">
        <v>319063</v>
      </c>
      <c r="M5" s="2">
        <v>177526</v>
      </c>
      <c r="N5" s="2">
        <v>12026</v>
      </c>
      <c r="O5" s="2">
        <v>97021</v>
      </c>
    </row>
    <row r="6" spans="1:15" x14ac:dyDescent="0.25">
      <c r="A6" s="6">
        <v>1990</v>
      </c>
      <c r="B6" s="10" t="s">
        <v>6</v>
      </c>
      <c r="C6" s="7" cm="1">
        <f t="array" ref="C6">_xlfn.XLOOKUP(A6,$I$2:$I$27,_xlfn.XLOOKUP(B6,$J$1:$O$1,$J$2:$O$27))</f>
        <v>13426</v>
      </c>
      <c r="I6" s="31">
        <v>1994</v>
      </c>
      <c r="J6" s="2">
        <v>487423</v>
      </c>
      <c r="K6" s="2">
        <v>1454605</v>
      </c>
      <c r="L6" s="2">
        <v>377113</v>
      </c>
      <c r="M6" s="2">
        <v>191495</v>
      </c>
      <c r="N6" s="2">
        <v>12036</v>
      </c>
      <c r="O6" s="2">
        <v>110391</v>
      </c>
    </row>
    <row r="7" spans="1:15" x14ac:dyDescent="0.25">
      <c r="A7" s="6">
        <v>1990</v>
      </c>
      <c r="B7" s="10" t="s">
        <v>7</v>
      </c>
      <c r="C7" s="7" cm="1">
        <f t="array" ref="C7">_xlfn.XLOOKUP(A7,$I$2:$I$27,_xlfn.XLOOKUP(B7,$J$1:$O$1,$J$2:$O$27))</f>
        <v>107877</v>
      </c>
      <c r="I7" s="31">
        <v>1995</v>
      </c>
      <c r="J7" s="2">
        <v>467047</v>
      </c>
      <c r="K7" s="2">
        <v>1415779</v>
      </c>
      <c r="L7" s="2">
        <v>419465</v>
      </c>
      <c r="M7" s="2">
        <v>213774</v>
      </c>
      <c r="N7" s="2">
        <v>12333</v>
      </c>
      <c r="O7" s="2">
        <v>118157</v>
      </c>
    </row>
    <row r="8" spans="1:15" x14ac:dyDescent="0.25">
      <c r="A8" s="6">
        <f t="shared" ref="A8:A13" si="0">A2+1</f>
        <v>1991</v>
      </c>
      <c r="B8" s="10" t="s">
        <v>2</v>
      </c>
      <c r="C8" s="7" cm="1">
        <f t="array" ref="C8">_xlfn.XLOOKUP(A8,$I$2:$I$27,_xlfn.XLOOKUP(B8,$J$1:$O$1,$J$2:$O$27))</f>
        <v>558995</v>
      </c>
      <c r="I8" s="31">
        <v>1996</v>
      </c>
      <c r="J8" s="2">
        <v>455962</v>
      </c>
      <c r="K8" s="2">
        <v>1394336</v>
      </c>
      <c r="L8" s="2">
        <v>457720</v>
      </c>
      <c r="M8" s="2">
        <v>229698</v>
      </c>
      <c r="N8" s="2">
        <v>11837</v>
      </c>
      <c r="O8" s="2">
        <v>116906</v>
      </c>
    </row>
    <row r="9" spans="1:15" x14ac:dyDescent="0.25">
      <c r="A9" s="6">
        <f t="shared" si="0"/>
        <v>1991</v>
      </c>
      <c r="B9" s="10" t="s">
        <v>3</v>
      </c>
      <c r="C9" s="7" cm="1">
        <f t="array" ref="C9">_xlfn.XLOOKUP(A9,$I$2:$I$27,_xlfn.XLOOKUP(B9,$J$1:$O$1,$J$2:$O$27))</f>
        <v>1564354</v>
      </c>
      <c r="I9" s="31">
        <v>1997</v>
      </c>
      <c r="J9" s="2">
        <v>449221</v>
      </c>
      <c r="K9" s="2">
        <v>1360127</v>
      </c>
      <c r="L9" s="2">
        <v>484241</v>
      </c>
      <c r="M9" s="2">
        <v>240626</v>
      </c>
      <c r="N9" s="2">
        <v>11360</v>
      </c>
      <c r="O9" s="2">
        <v>120254</v>
      </c>
    </row>
    <row r="10" spans="1:15" x14ac:dyDescent="0.25">
      <c r="A10" s="6">
        <f t="shared" si="0"/>
        <v>1991</v>
      </c>
      <c r="B10" s="10" t="s">
        <v>4</v>
      </c>
      <c r="C10" s="7" cm="1">
        <f t="array" ref="C10">_xlfn.XLOOKUP(A10,$I$2:$I$27,_xlfn.XLOOKUP(B10,$J$1:$O$1,$J$2:$O$27))</f>
        <v>238890</v>
      </c>
      <c r="I10" s="31">
        <v>1998</v>
      </c>
      <c r="J10" s="2">
        <v>445719</v>
      </c>
      <c r="K10" s="2">
        <v>1347497</v>
      </c>
      <c r="L10" s="2">
        <v>494851</v>
      </c>
      <c r="M10" s="2">
        <v>247758</v>
      </c>
      <c r="N10" s="2">
        <v>13084</v>
      </c>
      <c r="O10" s="2">
        <v>128057</v>
      </c>
    </row>
    <row r="11" spans="1:15" x14ac:dyDescent="0.25">
      <c r="A11" s="6">
        <f t="shared" si="0"/>
        <v>1991</v>
      </c>
      <c r="B11" s="10" t="s">
        <v>5</v>
      </c>
      <c r="C11" s="7" cm="1">
        <f t="array" ref="C11">_xlfn.XLOOKUP(A11,$I$2:$I$27,_xlfn.XLOOKUP(B11,$J$1:$O$1,$J$2:$O$27))</f>
        <v>178694</v>
      </c>
      <c r="I11" s="31">
        <v>1999</v>
      </c>
      <c r="J11" s="2">
        <v>429496</v>
      </c>
      <c r="K11" s="2">
        <v>1325097</v>
      </c>
      <c r="L11" s="2">
        <v>503338</v>
      </c>
      <c r="M11" s="2">
        <v>254327</v>
      </c>
      <c r="N11" s="2">
        <v>13067</v>
      </c>
      <c r="O11" s="2">
        <v>141894</v>
      </c>
    </row>
    <row r="12" spans="1:15" x14ac:dyDescent="0.25">
      <c r="A12" s="6">
        <f t="shared" si="0"/>
        <v>1991</v>
      </c>
      <c r="B12" s="10" t="s">
        <v>6</v>
      </c>
      <c r="C12" s="7" cm="1">
        <f t="array" ref="C12">_xlfn.XLOOKUP(A12,$I$2:$I$27,_xlfn.XLOOKUP(B12,$J$1:$O$1,$J$2:$O$27))</f>
        <v>13030</v>
      </c>
      <c r="I12" s="31">
        <v>2000</v>
      </c>
      <c r="J12" s="2">
        <v>435774</v>
      </c>
      <c r="K12" s="2">
        <v>1326772</v>
      </c>
      <c r="L12" s="2">
        <v>529536</v>
      </c>
      <c r="M12" s="2">
        <v>263597</v>
      </c>
      <c r="N12" s="2">
        <v>12040</v>
      </c>
      <c r="O12" s="2">
        <v>139247</v>
      </c>
    </row>
    <row r="13" spans="1:15" x14ac:dyDescent="0.25">
      <c r="A13" s="6">
        <f t="shared" si="0"/>
        <v>1991</v>
      </c>
      <c r="B13" s="10" t="s">
        <v>7</v>
      </c>
      <c r="C13" s="7" cm="1">
        <f t="array" ref="C13">_xlfn.XLOOKUP(A13,$I$2:$I$27,_xlfn.XLOOKUP(B13,$J$1:$O$1,$J$2:$O$27))</f>
        <v>95980</v>
      </c>
      <c r="I13" s="31">
        <v>2001</v>
      </c>
      <c r="J13" s="2">
        <v>440405</v>
      </c>
      <c r="K13" s="2">
        <v>1296712</v>
      </c>
      <c r="L13" s="2">
        <v>533865</v>
      </c>
      <c r="M13" s="2">
        <v>270706</v>
      </c>
      <c r="N13" s="2">
        <v>12048</v>
      </c>
      <c r="O13" s="2">
        <v>151147</v>
      </c>
    </row>
    <row r="14" spans="1:15" x14ac:dyDescent="0.25">
      <c r="A14" s="6">
        <f t="shared" ref="A14:A25" si="1">A2+2</f>
        <v>1992</v>
      </c>
      <c r="B14" s="10" t="s">
        <v>2</v>
      </c>
      <c r="C14" s="7" cm="1">
        <f t="array" ref="C14">_xlfn.XLOOKUP(A14,$I$2:$I$27,_xlfn.XLOOKUP(B14,$J$1:$O$1,$J$2:$O$27))</f>
        <v>522502</v>
      </c>
      <c r="I14" s="31">
        <v>2002</v>
      </c>
      <c r="J14" s="2">
        <v>424771</v>
      </c>
      <c r="K14" s="2">
        <v>1272619</v>
      </c>
      <c r="L14" s="2">
        <v>540836</v>
      </c>
      <c r="M14" s="2">
        <v>277006</v>
      </c>
      <c r="N14" s="2">
        <v>13217</v>
      </c>
      <c r="O14" s="2">
        <v>154968</v>
      </c>
    </row>
    <row r="15" spans="1:15" x14ac:dyDescent="0.25">
      <c r="A15" s="6">
        <f t="shared" si="1"/>
        <v>1992</v>
      </c>
      <c r="B15" s="10" t="s">
        <v>3</v>
      </c>
      <c r="C15" s="7" cm="1">
        <f t="array" ref="C15">_xlfn.XLOOKUP(A15,$I$2:$I$27,_xlfn.XLOOKUP(B15,$J$1:$O$1,$J$2:$O$27))</f>
        <v>1531546</v>
      </c>
      <c r="I15" s="31">
        <v>2003</v>
      </c>
      <c r="J15" s="2">
        <v>425547</v>
      </c>
      <c r="K15" s="2">
        <v>1276046</v>
      </c>
      <c r="L15" s="2">
        <v>552390</v>
      </c>
      <c r="M15" s="2">
        <v>270260</v>
      </c>
      <c r="N15" s="2">
        <v>13528</v>
      </c>
      <c r="O15" s="2">
        <v>160487</v>
      </c>
    </row>
    <row r="16" spans="1:15" x14ac:dyDescent="0.25">
      <c r="A16" s="6">
        <f t="shared" si="1"/>
        <v>1992</v>
      </c>
      <c r="B16" s="10" t="s">
        <v>4</v>
      </c>
      <c r="C16" s="7" cm="1">
        <f t="array" ref="C16">_xlfn.XLOOKUP(A16,$I$2:$I$27,_xlfn.XLOOKUP(B16,$J$1:$O$1,$J$2:$O$27))</f>
        <v>289474</v>
      </c>
      <c r="I16" s="31">
        <v>2004</v>
      </c>
      <c r="J16" s="2">
        <v>418017</v>
      </c>
      <c r="K16" s="2">
        <v>1281205</v>
      </c>
      <c r="L16" s="2">
        <v>572017</v>
      </c>
      <c r="M16" s="2">
        <v>276051</v>
      </c>
      <c r="N16" s="2">
        <v>14144</v>
      </c>
      <c r="O16" s="2">
        <v>172361</v>
      </c>
    </row>
    <row r="17" spans="1:15" x14ac:dyDescent="0.25">
      <c r="A17" s="6">
        <f t="shared" si="1"/>
        <v>1992</v>
      </c>
      <c r="B17" s="10" t="s">
        <v>5</v>
      </c>
      <c r="C17" s="7" cm="1">
        <f t="array" ref="C17">_xlfn.XLOOKUP(A17,$I$2:$I$27,_xlfn.XLOOKUP(B17,$J$1:$O$1,$J$2:$O$27))</f>
        <v>177617</v>
      </c>
      <c r="I17" s="31">
        <v>2005</v>
      </c>
      <c r="J17" s="2">
        <v>406704</v>
      </c>
      <c r="K17" s="2">
        <v>1251785</v>
      </c>
      <c r="L17" s="2">
        <v>576368</v>
      </c>
      <c r="M17" s="2">
        <v>282227</v>
      </c>
      <c r="N17" s="2">
        <v>13619</v>
      </c>
      <c r="O17" s="2">
        <v>176647</v>
      </c>
    </row>
    <row r="18" spans="1:15" x14ac:dyDescent="0.25">
      <c r="A18" s="6">
        <f t="shared" si="1"/>
        <v>1992</v>
      </c>
      <c r="B18" s="10" t="s">
        <v>6</v>
      </c>
      <c r="C18" s="7" cm="1">
        <f t="array" ref="C18">_xlfn.XLOOKUP(A18,$I$2:$I$27,_xlfn.XLOOKUP(B18,$J$1:$O$1,$J$2:$O$27))</f>
        <v>12593</v>
      </c>
      <c r="I18" s="31">
        <v>2006</v>
      </c>
      <c r="J18" s="2">
        <v>402461</v>
      </c>
      <c r="K18" s="2">
        <v>1252055</v>
      </c>
      <c r="L18" s="2">
        <v>590044</v>
      </c>
      <c r="M18" s="2">
        <v>283655</v>
      </c>
      <c r="N18" s="2">
        <v>13691</v>
      </c>
      <c r="O18" s="2">
        <v>179556</v>
      </c>
    </row>
    <row r="19" spans="1:15" x14ac:dyDescent="0.25">
      <c r="A19" s="6">
        <f t="shared" si="1"/>
        <v>1992</v>
      </c>
      <c r="B19" s="10" t="s">
        <v>7</v>
      </c>
      <c r="C19" s="7" cm="1">
        <f t="array" ref="C19">_xlfn.XLOOKUP(A19,$I$2:$I$27,_xlfn.XLOOKUP(B19,$J$1:$O$1,$J$2:$O$27))</f>
        <v>93063</v>
      </c>
      <c r="I19" s="31">
        <v>2007</v>
      </c>
      <c r="J19" s="2">
        <v>393016</v>
      </c>
      <c r="K19" s="2">
        <v>1249061</v>
      </c>
      <c r="L19" s="2">
        <v>598579</v>
      </c>
      <c r="M19" s="2">
        <v>288002</v>
      </c>
      <c r="N19" s="2">
        <v>14934</v>
      </c>
      <c r="O19" s="2">
        <v>190219</v>
      </c>
    </row>
    <row r="20" spans="1:15" x14ac:dyDescent="0.25">
      <c r="A20" s="6">
        <f t="shared" si="1"/>
        <v>1993</v>
      </c>
      <c r="B20" s="10" t="s">
        <v>2</v>
      </c>
      <c r="C20" s="7" cm="1">
        <f t="array" ref="C20">_xlfn.XLOOKUP(A20,$I$2:$I$27,_xlfn.XLOOKUP(B20,$J$1:$O$1,$J$2:$O$27))</f>
        <v>492256</v>
      </c>
      <c r="I20" s="31">
        <v>2008</v>
      </c>
      <c r="J20" s="2">
        <v>377088</v>
      </c>
      <c r="K20" s="2">
        <v>1242981</v>
      </c>
      <c r="L20" s="2">
        <v>604388</v>
      </c>
      <c r="M20" s="2">
        <v>288886</v>
      </c>
      <c r="N20" s="2">
        <v>14591</v>
      </c>
      <c r="O20" s="2">
        <v>201877</v>
      </c>
    </row>
    <row r="21" spans="1:15" x14ac:dyDescent="0.25">
      <c r="A21" s="6">
        <f t="shared" si="1"/>
        <v>1993</v>
      </c>
      <c r="B21" s="10" t="s">
        <v>3</v>
      </c>
      <c r="C21" s="7" cm="1">
        <f t="array" ref="C21">_xlfn.XLOOKUP(A21,$I$2:$I$27,_xlfn.XLOOKUP(B21,$J$1:$O$1,$J$2:$O$27))</f>
        <v>1480648</v>
      </c>
      <c r="I21" s="31">
        <v>2009</v>
      </c>
      <c r="J21" s="2">
        <v>375857</v>
      </c>
      <c r="K21" s="2">
        <v>1259482</v>
      </c>
      <c r="L21" s="2">
        <v>610745</v>
      </c>
      <c r="M21" s="2">
        <v>289562</v>
      </c>
      <c r="N21" s="2">
        <v>12579</v>
      </c>
      <c r="O21" s="2">
        <v>192908</v>
      </c>
    </row>
    <row r="22" spans="1:15" x14ac:dyDescent="0.25">
      <c r="A22" s="6">
        <f t="shared" si="1"/>
        <v>1993</v>
      </c>
      <c r="B22" s="10" t="s">
        <v>4</v>
      </c>
      <c r="C22" s="7" cm="1">
        <f t="array" ref="C22">_xlfn.XLOOKUP(A22,$I$2:$I$27,_xlfn.XLOOKUP(B22,$J$1:$O$1,$J$2:$O$27))</f>
        <v>319063</v>
      </c>
      <c r="I22" s="31">
        <v>2010</v>
      </c>
      <c r="J22" s="2">
        <v>359681</v>
      </c>
      <c r="K22" s="2">
        <v>1215337</v>
      </c>
      <c r="L22" s="2">
        <v>591879</v>
      </c>
      <c r="M22" s="2">
        <v>283175</v>
      </c>
      <c r="N22" s="2">
        <v>11308</v>
      </c>
      <c r="O22" s="2">
        <v>196964</v>
      </c>
    </row>
    <row r="23" spans="1:15" x14ac:dyDescent="0.25">
      <c r="A23" s="6">
        <f t="shared" si="1"/>
        <v>1993</v>
      </c>
      <c r="B23" s="10" t="s">
        <v>5</v>
      </c>
      <c r="C23" s="7" cm="1">
        <f t="array" ref="C23">_xlfn.XLOOKUP(A23,$I$2:$I$27,_xlfn.XLOOKUP(B23,$J$1:$O$1,$J$2:$O$27))</f>
        <v>177526</v>
      </c>
      <c r="I23" s="31">
        <v>2011</v>
      </c>
      <c r="J23" s="2">
        <v>359057</v>
      </c>
      <c r="K23" s="2">
        <v>1225384</v>
      </c>
      <c r="L23" s="2">
        <v>596384</v>
      </c>
      <c r="M23" s="2">
        <v>281808</v>
      </c>
      <c r="N23" s="2">
        <v>11587</v>
      </c>
      <c r="O23" s="2">
        <v>204039</v>
      </c>
    </row>
    <row r="24" spans="1:15" x14ac:dyDescent="0.25">
      <c r="A24" s="6">
        <f t="shared" si="1"/>
        <v>1993</v>
      </c>
      <c r="B24" s="10" t="s">
        <v>6</v>
      </c>
      <c r="C24" s="7" cm="1">
        <f t="array" ref="C24">_xlfn.XLOOKUP(A24,$I$2:$I$27,_xlfn.XLOOKUP(B24,$J$1:$O$1,$J$2:$O$27))</f>
        <v>12026</v>
      </c>
      <c r="I24" s="31">
        <v>2012</v>
      </c>
      <c r="J24" s="2">
        <v>357136</v>
      </c>
      <c r="K24" s="2">
        <v>1230693</v>
      </c>
      <c r="L24" s="2">
        <v>586955</v>
      </c>
      <c r="M24" s="2">
        <v>273301</v>
      </c>
      <c r="N24" s="2">
        <v>11723</v>
      </c>
      <c r="O24" s="2">
        <v>203605</v>
      </c>
    </row>
    <row r="25" spans="1:15" x14ac:dyDescent="0.25">
      <c r="A25" s="6">
        <f t="shared" si="1"/>
        <v>1993</v>
      </c>
      <c r="B25" s="10" t="s">
        <v>7</v>
      </c>
      <c r="C25" s="7" cm="1">
        <f t="array" ref="C25">_xlfn.XLOOKUP(A25,$I$2:$I$27,_xlfn.XLOOKUP(B25,$J$1:$O$1,$J$2:$O$27))</f>
        <v>97021</v>
      </c>
      <c r="I25" s="31">
        <v>2013</v>
      </c>
      <c r="J25" s="2">
        <v>360104</v>
      </c>
      <c r="K25" s="2">
        <v>1250968</v>
      </c>
      <c r="L25" s="2">
        <v>567384</v>
      </c>
      <c r="M25" s="2">
        <v>254167</v>
      </c>
      <c r="N25" s="2">
        <v>12967</v>
      </c>
      <c r="O25" s="2">
        <v>204015</v>
      </c>
    </row>
    <row r="26" spans="1:15" x14ac:dyDescent="0.25">
      <c r="A26" s="6">
        <f t="shared" ref="A26:A57" si="2">A8+3</f>
        <v>1994</v>
      </c>
      <c r="B26" s="10" t="s">
        <v>2</v>
      </c>
      <c r="C26" s="7" cm="1">
        <f t="array" ref="C26">_xlfn.XLOOKUP(A26,$I$2:$I$27,_xlfn.XLOOKUP(B26,$J$1:$O$1,$J$2:$O$27))</f>
        <v>487423</v>
      </c>
      <c r="I26" s="31">
        <v>2014</v>
      </c>
      <c r="J26" s="2">
        <v>361332</v>
      </c>
      <c r="K26" s="2">
        <v>1249317</v>
      </c>
      <c r="L26" s="2">
        <v>538156</v>
      </c>
      <c r="M26" s="2">
        <v>229752</v>
      </c>
      <c r="N26" s="2">
        <v>11924</v>
      </c>
      <c r="O26" s="2">
        <v>212219</v>
      </c>
    </row>
    <row r="27" spans="1:15" x14ac:dyDescent="0.25">
      <c r="A27" s="6">
        <f t="shared" si="2"/>
        <v>1994</v>
      </c>
      <c r="B27" s="10" t="s">
        <v>3</v>
      </c>
      <c r="C27" s="7" cm="1">
        <f t="array" ref="C27">_xlfn.XLOOKUP(A27,$I$2:$I$27,_xlfn.XLOOKUP(B27,$J$1:$O$1,$J$2:$O$27))</f>
        <v>1454605</v>
      </c>
      <c r="I27" s="31">
        <v>2015</v>
      </c>
      <c r="J27" s="2">
        <v>355307</v>
      </c>
      <c r="K27" s="2">
        <v>1238196</v>
      </c>
      <c r="L27" s="2">
        <v>503488</v>
      </c>
      <c r="M27" s="2">
        <v>200663</v>
      </c>
      <c r="N27" s="2">
        <v>11409</v>
      </c>
      <c r="O27" s="2">
        <v>228953</v>
      </c>
    </row>
    <row r="28" spans="1:15" x14ac:dyDescent="0.25">
      <c r="A28" s="6">
        <f t="shared" si="2"/>
        <v>1994</v>
      </c>
      <c r="B28" s="10" t="s">
        <v>4</v>
      </c>
      <c r="C28" s="7" cm="1">
        <f t="array" ref="C28">_xlfn.XLOOKUP(A28,$I$2:$I$27,_xlfn.XLOOKUP(B28,$J$1:$O$1,$J$2:$O$27))</f>
        <v>377113</v>
      </c>
    </row>
    <row r="29" spans="1:15" x14ac:dyDescent="0.25">
      <c r="A29" s="6">
        <f t="shared" si="2"/>
        <v>1994</v>
      </c>
      <c r="B29" s="10" t="s">
        <v>5</v>
      </c>
      <c r="C29" s="7" cm="1">
        <f t="array" ref="C29">_xlfn.XLOOKUP(A29,$I$2:$I$27,_xlfn.XLOOKUP(B29,$J$1:$O$1,$J$2:$O$27))</f>
        <v>191495</v>
      </c>
    </row>
    <row r="30" spans="1:15" x14ac:dyDescent="0.25">
      <c r="A30" s="6">
        <f t="shared" si="2"/>
        <v>1994</v>
      </c>
      <c r="B30" s="10" t="s">
        <v>6</v>
      </c>
      <c r="C30" s="7" cm="1">
        <f t="array" ref="C30">_xlfn.XLOOKUP(A30,$I$2:$I$27,_xlfn.XLOOKUP(B30,$J$1:$O$1,$J$2:$O$27))</f>
        <v>12036</v>
      </c>
    </row>
    <row r="31" spans="1:15" x14ac:dyDescent="0.25">
      <c r="A31" s="6">
        <f t="shared" si="2"/>
        <v>1994</v>
      </c>
      <c r="B31" s="10" t="s">
        <v>7</v>
      </c>
      <c r="C31" s="7" cm="1">
        <f t="array" ref="C31">_xlfn.XLOOKUP(A31,$I$2:$I$27,_xlfn.XLOOKUP(B31,$J$1:$O$1,$J$2:$O$27))</f>
        <v>110391</v>
      </c>
    </row>
    <row r="32" spans="1:15" x14ac:dyDescent="0.25">
      <c r="A32" s="6">
        <f t="shared" si="2"/>
        <v>1995</v>
      </c>
      <c r="B32" s="10" t="s">
        <v>2</v>
      </c>
      <c r="C32" s="7" cm="1">
        <f t="array" ref="C32">_xlfn.XLOOKUP(A32,$I$2:$I$27,_xlfn.XLOOKUP(B32,$J$1:$O$1,$J$2:$O$27))</f>
        <v>467047</v>
      </c>
    </row>
    <row r="33" spans="1:23" x14ac:dyDescent="0.25">
      <c r="A33" s="6">
        <f t="shared" si="2"/>
        <v>1995</v>
      </c>
      <c r="B33" s="10" t="s">
        <v>3</v>
      </c>
      <c r="C33" s="7" cm="1">
        <f t="array" ref="C33">_xlfn.XLOOKUP(A33,$I$2:$I$27,_xlfn.XLOOKUP(B33,$J$1:$O$1,$J$2:$O$27))</f>
        <v>1415779</v>
      </c>
      <c r="J33" s="32" t="s">
        <v>10</v>
      </c>
    </row>
    <row r="34" spans="1:23" x14ac:dyDescent="0.25">
      <c r="A34" s="6">
        <f t="shared" si="2"/>
        <v>1995</v>
      </c>
      <c r="B34" s="10" t="s">
        <v>4</v>
      </c>
      <c r="C34" s="7" cm="1">
        <f t="array" ref="C34">_xlfn.XLOOKUP(A34,$I$2:$I$27,_xlfn.XLOOKUP(B34,$J$1:$O$1,$J$2:$O$27))</f>
        <v>419465</v>
      </c>
      <c r="J34" t="s">
        <v>6</v>
      </c>
      <c r="L34" t="s">
        <v>7</v>
      </c>
      <c r="N34" t="s">
        <v>4</v>
      </c>
      <c r="P34" t="s">
        <v>3</v>
      </c>
      <c r="R34" t="s">
        <v>5</v>
      </c>
      <c r="T34" t="s">
        <v>2</v>
      </c>
      <c r="V34" t="s">
        <v>66</v>
      </c>
      <c r="W34" t="s">
        <v>67</v>
      </c>
    </row>
    <row r="35" spans="1:23" x14ac:dyDescent="0.25">
      <c r="A35" s="6">
        <f t="shared" si="2"/>
        <v>1995</v>
      </c>
      <c r="B35" s="10" t="s">
        <v>5</v>
      </c>
      <c r="C35" s="7" cm="1">
        <f t="array" ref="C35">_xlfn.XLOOKUP(A35,$I$2:$I$27,_xlfn.XLOOKUP(B35,$J$1:$O$1,$J$2:$O$27))</f>
        <v>213774</v>
      </c>
      <c r="I35" s="32" t="s">
        <v>0</v>
      </c>
      <c r="J35" t="s">
        <v>65</v>
      </c>
      <c r="K35" t="s">
        <v>68</v>
      </c>
      <c r="L35" t="s">
        <v>65</v>
      </c>
      <c r="M35" t="s">
        <v>68</v>
      </c>
      <c r="N35" t="s">
        <v>65</v>
      </c>
      <c r="O35" t="s">
        <v>68</v>
      </c>
      <c r="P35" t="s">
        <v>65</v>
      </c>
      <c r="Q35" t="s">
        <v>68</v>
      </c>
      <c r="R35" t="s">
        <v>65</v>
      </c>
      <c r="S35" t="s">
        <v>68</v>
      </c>
      <c r="T35" t="s">
        <v>65</v>
      </c>
      <c r="U35" t="s">
        <v>68</v>
      </c>
    </row>
    <row r="36" spans="1:23" x14ac:dyDescent="0.25">
      <c r="A36" s="6">
        <f t="shared" si="2"/>
        <v>1995</v>
      </c>
      <c r="B36" s="10" t="s">
        <v>6</v>
      </c>
      <c r="C36" s="7" cm="1">
        <f t="array" ref="C36">_xlfn.XLOOKUP(A36,$I$2:$I$27,_xlfn.XLOOKUP(B36,$J$1:$O$1,$J$2:$O$27))</f>
        <v>12333</v>
      </c>
      <c r="I36" s="33">
        <v>1990</v>
      </c>
      <c r="J36" s="34">
        <v>5.0787612755233665E-3</v>
      </c>
      <c r="K36" s="37"/>
      <c r="L36" s="34">
        <v>4.0807502615792808E-2</v>
      </c>
      <c r="M36" s="37"/>
      <c r="N36" s="34">
        <v>6.1275372055388987E-2</v>
      </c>
      <c r="O36" s="37"/>
      <c r="P36" s="34">
        <v>0.59671473067736736</v>
      </c>
      <c r="Q36" s="37"/>
      <c r="R36" s="34">
        <v>6.6339002208387329E-2</v>
      </c>
      <c r="S36" s="37"/>
      <c r="T36" s="34">
        <v>0.22978463116754011</v>
      </c>
      <c r="U36" s="37"/>
      <c r="V36" s="34">
        <v>1</v>
      </c>
      <c r="W36" s="37"/>
    </row>
    <row r="37" spans="1:23" x14ac:dyDescent="0.25">
      <c r="A37" s="6">
        <f t="shared" si="2"/>
        <v>1995</v>
      </c>
      <c r="B37" s="10" t="s">
        <v>7</v>
      </c>
      <c r="C37" s="7" cm="1">
        <f t="array" ref="C37">_xlfn.XLOOKUP(A37,$I$2:$I$27,_xlfn.XLOOKUP(B37,$J$1:$O$1,$J$2:$O$27))</f>
        <v>118157</v>
      </c>
      <c r="I37" s="33">
        <v>1991</v>
      </c>
      <c r="J37" s="34">
        <v>4.9170868958313442E-3</v>
      </c>
      <c r="K37" s="37">
        <v>-2.9495009682705201E-2</v>
      </c>
      <c r="L37" s="34">
        <v>3.6219646988633343E-2</v>
      </c>
      <c r="M37" s="37">
        <v>-0.11028300749928159</v>
      </c>
      <c r="N37" s="34">
        <v>9.01491088676247E-2</v>
      </c>
      <c r="O37" s="37">
        <v>0.47476618205389387</v>
      </c>
      <c r="P37" s="34">
        <v>0.59033496192182244</v>
      </c>
      <c r="Q37" s="37">
        <v>-8.3020064027385966E-3</v>
      </c>
      <c r="R37" s="34">
        <v>6.7433148562063408E-2</v>
      </c>
      <c r="S37" s="37">
        <v>1.8948400818835497E-2</v>
      </c>
      <c r="T37" s="34">
        <v>0.21094604676402473</v>
      </c>
      <c r="U37" s="37">
        <v>-7.9766367217659423E-2</v>
      </c>
      <c r="V37" s="34">
        <v>1</v>
      </c>
      <c r="W37" s="37">
        <v>2.4153054330565095E-3</v>
      </c>
    </row>
    <row r="38" spans="1:23" x14ac:dyDescent="0.25">
      <c r="A38" s="6">
        <f t="shared" si="2"/>
        <v>1996</v>
      </c>
      <c r="B38" s="10" t="s">
        <v>2</v>
      </c>
      <c r="C38" s="7" cm="1">
        <f t="array" ref="C38">_xlfn.XLOOKUP(A38,$I$2:$I$27,_xlfn.XLOOKUP(B38,$J$1:$O$1,$J$2:$O$27))</f>
        <v>455962</v>
      </c>
      <c r="I38" s="33">
        <v>1992</v>
      </c>
      <c r="J38" s="34">
        <v>4.7940551127895401E-3</v>
      </c>
      <c r="K38" s="37">
        <v>-3.3537989255564081E-2</v>
      </c>
      <c r="L38" s="34">
        <v>3.5428345188718569E-2</v>
      </c>
      <c r="M38" s="37">
        <v>-3.0391748280891851E-2</v>
      </c>
      <c r="N38" s="34">
        <v>0.11020045340424357</v>
      </c>
      <c r="O38" s="37">
        <v>0.21174599187910753</v>
      </c>
      <c r="P38" s="34">
        <v>0.58304740187186288</v>
      </c>
      <c r="Q38" s="37">
        <v>-2.0972235184619339E-2</v>
      </c>
      <c r="R38" s="34">
        <v>6.7617381638079871E-2</v>
      </c>
      <c r="S38" s="37">
        <v>-6.0270630239403671E-3</v>
      </c>
      <c r="T38" s="34">
        <v>0.1989123627843056</v>
      </c>
      <c r="U38" s="37">
        <v>-6.5283231513698692E-2</v>
      </c>
      <c r="V38" s="34">
        <v>1</v>
      </c>
      <c r="W38" s="37">
        <v>-8.7352822305989224E-3</v>
      </c>
    </row>
    <row r="39" spans="1:23" x14ac:dyDescent="0.25">
      <c r="A39" s="6">
        <f t="shared" si="2"/>
        <v>1996</v>
      </c>
      <c r="B39" s="10" t="s">
        <v>3</v>
      </c>
      <c r="C39" s="7" cm="1">
        <f t="array" ref="C39">_xlfn.XLOOKUP(A39,$I$2:$I$27,_xlfn.XLOOKUP(B39,$J$1:$O$1,$J$2:$O$27))</f>
        <v>1394336</v>
      </c>
      <c r="I39" s="33">
        <v>1993</v>
      </c>
      <c r="J39" s="34">
        <v>4.6638795597508664E-3</v>
      </c>
      <c r="K39" s="37">
        <v>-4.5025013896609227E-2</v>
      </c>
      <c r="L39" s="34">
        <v>3.7626331179659807E-2</v>
      </c>
      <c r="M39" s="37">
        <v>4.2530328916970221E-2</v>
      </c>
      <c r="N39" s="34">
        <v>0.12373785165248552</v>
      </c>
      <c r="O39" s="37">
        <v>0.10221643394570842</v>
      </c>
      <c r="P39" s="34">
        <v>0.5742195195730917</v>
      </c>
      <c r="Q39" s="37">
        <v>-3.3233086045081246E-2</v>
      </c>
      <c r="R39" s="34">
        <v>6.8847487337795804E-2</v>
      </c>
      <c r="S39" s="37">
        <v>-5.1233834599165621E-4</v>
      </c>
      <c r="T39" s="34">
        <v>0.19090493069721626</v>
      </c>
      <c r="U39" s="37">
        <v>-5.7886859763216218E-2</v>
      </c>
      <c r="V39" s="34">
        <v>1</v>
      </c>
      <c r="W39" s="37">
        <v>-1.8370295359934827E-2</v>
      </c>
    </row>
    <row r="40" spans="1:23" x14ac:dyDescent="0.25">
      <c r="A40" s="6">
        <f t="shared" si="2"/>
        <v>1996</v>
      </c>
      <c r="B40" s="10" t="s">
        <v>4</v>
      </c>
      <c r="C40" s="7" cm="1">
        <f t="array" ref="C40">_xlfn.XLOOKUP(A40,$I$2:$I$27,_xlfn.XLOOKUP(B40,$J$1:$O$1,$J$2:$O$27))</f>
        <v>457720</v>
      </c>
      <c r="I40" s="33">
        <v>1994</v>
      </c>
      <c r="J40" s="34">
        <v>4.5711021726407607E-3</v>
      </c>
      <c r="K40" s="37">
        <v>8.3153168135705969E-4</v>
      </c>
      <c r="L40" s="34">
        <v>4.1924936851112184E-2</v>
      </c>
      <c r="M40" s="37">
        <v>0.13780521742715496</v>
      </c>
      <c r="N40" s="34">
        <v>0.14322217128872344</v>
      </c>
      <c r="O40" s="37">
        <v>0.18193899010540238</v>
      </c>
      <c r="P40" s="34">
        <v>0.55243835791243889</v>
      </c>
      <c r="Q40" s="37">
        <v>-1.7588920526688315E-2</v>
      </c>
      <c r="R40" s="34">
        <v>7.2727086286959328E-2</v>
      </c>
      <c r="S40" s="37">
        <v>7.8687065556594521E-2</v>
      </c>
      <c r="T40" s="34">
        <v>0.18511634548812542</v>
      </c>
      <c r="U40" s="37">
        <v>-9.8180621465253845E-3</v>
      </c>
      <c r="V40" s="34">
        <v>1</v>
      </c>
      <c r="W40" s="37">
        <v>2.1144911461524737E-2</v>
      </c>
    </row>
    <row r="41" spans="1:23" x14ac:dyDescent="0.25">
      <c r="A41" s="6">
        <f t="shared" si="2"/>
        <v>1996</v>
      </c>
      <c r="B41" s="10" t="s">
        <v>5</v>
      </c>
      <c r="C41" s="7" cm="1">
        <f t="array" ref="C41">_xlfn.XLOOKUP(A41,$I$2:$I$27,_xlfn.XLOOKUP(B41,$J$1:$O$1,$J$2:$O$27))</f>
        <v>229698</v>
      </c>
      <c r="I41" s="33">
        <v>1995</v>
      </c>
      <c r="J41" s="34">
        <v>4.6600202905286306E-3</v>
      </c>
      <c r="K41" s="37">
        <v>2.4675972083748755E-2</v>
      </c>
      <c r="L41" s="34">
        <v>4.4645586432173145E-2</v>
      </c>
      <c r="M41" s="37">
        <v>7.0349937947839947E-2</v>
      </c>
      <c r="N41" s="34">
        <v>0.15849472238438272</v>
      </c>
      <c r="O41" s="37">
        <v>0.11230586057759875</v>
      </c>
      <c r="P41" s="34">
        <v>0.53495166357774537</v>
      </c>
      <c r="Q41" s="37">
        <v>-2.6691782305161883E-2</v>
      </c>
      <c r="R41" s="34">
        <v>8.0774440735219943E-2</v>
      </c>
      <c r="S41" s="37">
        <v>0.1163424632496932</v>
      </c>
      <c r="T41" s="34">
        <v>0.17647356657995017</v>
      </c>
      <c r="U41" s="37">
        <v>-4.1803525890243179E-2</v>
      </c>
      <c r="V41" s="34">
        <v>1</v>
      </c>
      <c r="W41" s="37">
        <v>5.1240703317770976E-3</v>
      </c>
    </row>
    <row r="42" spans="1:23" x14ac:dyDescent="0.25">
      <c r="A42" s="6">
        <f t="shared" si="2"/>
        <v>1996</v>
      </c>
      <c r="B42" s="10" t="s">
        <v>6</v>
      </c>
      <c r="C42" s="7" cm="1">
        <f t="array" ref="C42">_xlfn.XLOOKUP(A42,$I$2:$I$27,_xlfn.XLOOKUP(B42,$J$1:$O$1,$J$2:$O$27))</f>
        <v>11837</v>
      </c>
      <c r="I42" s="33">
        <v>1996</v>
      </c>
      <c r="J42" s="34">
        <v>4.4392207043123487E-3</v>
      </c>
      <c r="K42" s="37">
        <v>-4.0217303170355954E-2</v>
      </c>
      <c r="L42" s="34">
        <v>4.3843164286418802E-2</v>
      </c>
      <c r="M42" s="37">
        <v>-1.058760801306736E-2</v>
      </c>
      <c r="N42" s="34">
        <v>0.17165836789539984</v>
      </c>
      <c r="O42" s="37">
        <v>9.1199504130261164E-2</v>
      </c>
      <c r="P42" s="34">
        <v>0.52291672213973661</v>
      </c>
      <c r="Q42" s="37">
        <v>-1.5145725427485504E-2</v>
      </c>
      <c r="R42" s="34">
        <v>8.6143458421824595E-2</v>
      </c>
      <c r="S42" s="37">
        <v>7.4489881837828731E-2</v>
      </c>
      <c r="T42" s="34">
        <v>0.17099906655230776</v>
      </c>
      <c r="U42" s="37">
        <v>-2.3734228032724757E-2</v>
      </c>
      <c r="V42" s="34">
        <v>1</v>
      </c>
      <c r="W42" s="37">
        <v>7.5207203326588716E-3</v>
      </c>
    </row>
    <row r="43" spans="1:23" x14ac:dyDescent="0.25">
      <c r="A43" s="6">
        <f t="shared" si="2"/>
        <v>1996</v>
      </c>
      <c r="B43" s="10" t="s">
        <v>7</v>
      </c>
      <c r="C43" s="7" cm="1">
        <f t="array" ref="C43">_xlfn.XLOOKUP(A43,$I$2:$I$27,_xlfn.XLOOKUP(B43,$J$1:$O$1,$J$2:$O$27))</f>
        <v>116906</v>
      </c>
      <c r="I43" s="33">
        <v>1997</v>
      </c>
      <c r="J43" s="34">
        <v>4.2613385929855217E-3</v>
      </c>
      <c r="K43" s="37">
        <v>-4.0297372645095884E-2</v>
      </c>
      <c r="L43" s="34">
        <v>4.5109419996556419E-2</v>
      </c>
      <c r="M43" s="37">
        <v>2.863839323901254E-2</v>
      </c>
      <c r="N43" s="34">
        <v>0.18164743500051952</v>
      </c>
      <c r="O43" s="37">
        <v>5.7941536310408111E-2</v>
      </c>
      <c r="P43" s="34">
        <v>0.51020789405471989</v>
      </c>
      <c r="Q43" s="37">
        <v>-2.4534258600509489E-2</v>
      </c>
      <c r="R43" s="34">
        <v>9.0263103897511812E-2</v>
      </c>
      <c r="S43" s="37">
        <v>4.757551219427248E-2</v>
      </c>
      <c r="T43" s="34">
        <v>0.16851080845770677</v>
      </c>
      <c r="U43" s="37">
        <v>-1.4784126747404388E-2</v>
      </c>
      <c r="V43" s="34">
        <v>1</v>
      </c>
      <c r="W43" s="37">
        <v>-2.3626839940160341E-4</v>
      </c>
    </row>
    <row r="44" spans="1:23" x14ac:dyDescent="0.25">
      <c r="A44" s="6">
        <f t="shared" si="2"/>
        <v>1997</v>
      </c>
      <c r="B44" s="10" t="s">
        <v>2</v>
      </c>
      <c r="C44" s="7" cm="1">
        <f t="array" ref="C44">_xlfn.XLOOKUP(A44,$I$2:$I$27,_xlfn.XLOOKUP(B44,$J$1:$O$1,$J$2:$O$27))</f>
        <v>449221</v>
      </c>
      <c r="I44" s="33">
        <v>1998</v>
      </c>
      <c r="J44" s="34">
        <v>4.8876227789221077E-3</v>
      </c>
      <c r="K44" s="37">
        <v>0.15176056338028168</v>
      </c>
      <c r="L44" s="34">
        <v>4.7836618022044357E-2</v>
      </c>
      <c r="M44" s="37">
        <v>6.4887654464716352E-2</v>
      </c>
      <c r="N44" s="34">
        <v>0.18485516812690186</v>
      </c>
      <c r="O44" s="37">
        <v>2.1910577584302031E-2</v>
      </c>
      <c r="P44" s="34">
        <v>0.50336724485854512</v>
      </c>
      <c r="Q44" s="37">
        <v>-9.2858975669183833E-3</v>
      </c>
      <c r="R44" s="34">
        <v>9.25517918419584E-2</v>
      </c>
      <c r="S44" s="37">
        <v>2.9639357342930522E-2</v>
      </c>
      <c r="T44" s="34">
        <v>0.16650155437162817</v>
      </c>
      <c r="U44" s="37">
        <v>-7.7957174753629059E-3</v>
      </c>
      <c r="V44" s="34">
        <v>1</v>
      </c>
      <c r="W44" s="37">
        <v>4.1776873160281475E-3</v>
      </c>
    </row>
    <row r="45" spans="1:23" x14ac:dyDescent="0.25">
      <c r="A45" s="6">
        <f t="shared" si="2"/>
        <v>1997</v>
      </c>
      <c r="B45" s="10" t="s">
        <v>3</v>
      </c>
      <c r="C45" s="7" cm="1">
        <f t="array" ref="C45">_xlfn.XLOOKUP(A45,$I$2:$I$27,_xlfn.XLOOKUP(B45,$J$1:$O$1,$J$2:$O$27))</f>
        <v>1360127</v>
      </c>
      <c r="I45" s="33">
        <v>1999</v>
      </c>
      <c r="J45" s="34">
        <v>4.8991102717849564E-3</v>
      </c>
      <c r="K45" s="37">
        <v>-1.2992968511158667E-3</v>
      </c>
      <c r="L45" s="34">
        <v>5.3199231109256492E-2</v>
      </c>
      <c r="M45" s="37">
        <v>0.10805344495029558</v>
      </c>
      <c r="N45" s="34">
        <v>0.18871266288969898</v>
      </c>
      <c r="O45" s="37">
        <v>1.7150617054426484E-2</v>
      </c>
      <c r="P45" s="34">
        <v>0.49680847354491703</v>
      </c>
      <c r="Q45" s="37">
        <v>-1.6623413632831836E-2</v>
      </c>
      <c r="R45" s="34">
        <v>9.5352875035758219E-2</v>
      </c>
      <c r="S45" s="37">
        <v>2.6513775539034057E-2</v>
      </c>
      <c r="T45" s="34">
        <v>0.16102764714858436</v>
      </c>
      <c r="U45" s="37">
        <v>-3.6397371438058511E-2</v>
      </c>
      <c r="V45" s="34">
        <v>1</v>
      </c>
      <c r="W45" s="37">
        <v>-3.6410623071043862E-3</v>
      </c>
    </row>
    <row r="46" spans="1:23" x14ac:dyDescent="0.25">
      <c r="A46" s="6">
        <f t="shared" si="2"/>
        <v>1997</v>
      </c>
      <c r="B46" s="10" t="s">
        <v>4</v>
      </c>
      <c r="C46" s="7" cm="1">
        <f t="array" ref="C46">_xlfn.XLOOKUP(A46,$I$2:$I$27,_xlfn.XLOOKUP(B46,$J$1:$O$1,$J$2:$O$27))</f>
        <v>484241</v>
      </c>
      <c r="I46" s="33">
        <v>2000</v>
      </c>
      <c r="J46" s="34">
        <v>4.4477839765996322E-3</v>
      </c>
      <c r="K46" s="37">
        <v>-7.8594933802709113E-2</v>
      </c>
      <c r="L46" s="34">
        <v>5.1440247125379486E-2</v>
      </c>
      <c r="M46" s="37">
        <v>-1.8654770462457892E-2</v>
      </c>
      <c r="N46" s="34">
        <v>0.19561974550105174</v>
      </c>
      <c r="O46" s="37">
        <v>5.2048524053419372E-2</v>
      </c>
      <c r="P46" s="34">
        <v>0.49013249519942254</v>
      </c>
      <c r="Q46" s="37">
        <v>1.2640584047809329E-3</v>
      </c>
      <c r="R46" s="34">
        <v>9.7377285122901433E-2</v>
      </c>
      <c r="S46" s="37">
        <v>3.6449138314060242E-2</v>
      </c>
      <c r="T46" s="34">
        <v>0.16098244307464518</v>
      </c>
      <c r="U46" s="37">
        <v>1.4617132639186394E-2</v>
      </c>
      <c r="V46" s="34">
        <v>1</v>
      </c>
      <c r="W46" s="37">
        <v>1.4902038415293233E-2</v>
      </c>
    </row>
    <row r="47" spans="1:23" x14ac:dyDescent="0.25">
      <c r="A47" s="6">
        <f t="shared" si="2"/>
        <v>1997</v>
      </c>
      <c r="B47" s="10" t="s">
        <v>5</v>
      </c>
      <c r="C47" s="7" cm="1">
        <f t="array" ref="C47">_xlfn.XLOOKUP(A47,$I$2:$I$27,_xlfn.XLOOKUP(B47,$J$1:$O$1,$J$2:$O$27))</f>
        <v>240626</v>
      </c>
      <c r="I47" s="33">
        <v>2001</v>
      </c>
      <c r="J47" s="34">
        <v>4.4541667791176184E-3</v>
      </c>
      <c r="K47" s="37">
        <v>6.6445182724252495E-4</v>
      </c>
      <c r="L47" s="34">
        <v>5.5879311600538731E-2</v>
      </c>
      <c r="M47" s="37">
        <v>8.5459650836283721E-2</v>
      </c>
      <c r="N47" s="34">
        <v>0.19737082897855471</v>
      </c>
      <c r="O47" s="37">
        <v>8.1750815808556924E-3</v>
      </c>
      <c r="P47" s="34">
        <v>0.47939670588339678</v>
      </c>
      <c r="Q47" s="37">
        <v>-2.2656492600085017E-2</v>
      </c>
      <c r="R47" s="34">
        <v>0.10008048407269372</v>
      </c>
      <c r="S47" s="37">
        <v>2.6969199194224518E-2</v>
      </c>
      <c r="T47" s="34">
        <v>0.16281850268569842</v>
      </c>
      <c r="U47" s="37">
        <v>1.062706815918343E-2</v>
      </c>
      <c r="V47" s="34">
        <v>1</v>
      </c>
      <c r="W47" s="37">
        <v>-7.6949618133364064E-4</v>
      </c>
    </row>
    <row r="48" spans="1:23" x14ac:dyDescent="0.25">
      <c r="A48" s="6">
        <f t="shared" si="2"/>
        <v>1997</v>
      </c>
      <c r="B48" s="10" t="s">
        <v>6</v>
      </c>
      <c r="C48" s="7" cm="1">
        <f t="array" ref="C48">_xlfn.XLOOKUP(A48,$I$2:$I$27,_xlfn.XLOOKUP(B48,$J$1:$O$1,$J$2:$O$27))</f>
        <v>11360</v>
      </c>
      <c r="I48" s="33">
        <v>2002</v>
      </c>
      <c r="J48" s="34">
        <v>4.9254364863903005E-3</v>
      </c>
      <c r="K48" s="37">
        <v>9.7028552456839307E-2</v>
      </c>
      <c r="L48" s="34">
        <v>5.7750249029502307E-2</v>
      </c>
      <c r="M48" s="37">
        <v>2.5280025405730846E-2</v>
      </c>
      <c r="N48" s="34">
        <v>0.20154750454364714</v>
      </c>
      <c r="O48" s="37">
        <v>1.3057608196828786E-2</v>
      </c>
      <c r="P48" s="34">
        <v>0.47425316303802206</v>
      </c>
      <c r="Q48" s="37">
        <v>-1.858007020834233E-2</v>
      </c>
      <c r="R48" s="34">
        <v>0.10322883100166691</v>
      </c>
      <c r="S48" s="37">
        <v>2.3272480107570576E-2</v>
      </c>
      <c r="T48" s="34">
        <v>0.1582948159007713</v>
      </c>
      <c r="U48" s="37">
        <v>-3.5499142834436483E-2</v>
      </c>
      <c r="V48" s="34">
        <v>1</v>
      </c>
      <c r="W48" s="37">
        <v>-7.9360179349716783E-3</v>
      </c>
    </row>
    <row r="49" spans="1:23" x14ac:dyDescent="0.25">
      <c r="A49" s="6">
        <f t="shared" si="2"/>
        <v>1997</v>
      </c>
      <c r="B49" s="10" t="s">
        <v>7</v>
      </c>
      <c r="C49" s="7" cm="1">
        <f t="array" ref="C49">_xlfn.XLOOKUP(A49,$I$2:$I$27,_xlfn.XLOOKUP(B49,$J$1:$O$1,$J$2:$O$27))</f>
        <v>120254</v>
      </c>
      <c r="I49" s="33">
        <v>2003</v>
      </c>
      <c r="J49" s="34">
        <v>5.0136050740885417E-3</v>
      </c>
      <c r="K49" s="37">
        <v>2.3530301883937354E-2</v>
      </c>
      <c r="L49" s="34">
        <v>5.9478003956626828E-2</v>
      </c>
      <c r="M49" s="37">
        <v>3.5613804140209593E-2</v>
      </c>
      <c r="N49" s="34">
        <v>0.20472097182700838</v>
      </c>
      <c r="O49" s="37">
        <v>2.1363222862383423E-2</v>
      </c>
      <c r="P49" s="34">
        <v>0.47291474721839055</v>
      </c>
      <c r="Q49" s="37">
        <v>2.6928719436060595E-3</v>
      </c>
      <c r="R49" s="34">
        <v>0.10016091863713551</v>
      </c>
      <c r="S49" s="37">
        <v>-2.4353263106214305E-2</v>
      </c>
      <c r="T49" s="34">
        <v>0.15771175328675019</v>
      </c>
      <c r="U49" s="37">
        <v>1.8268667117105452E-3</v>
      </c>
      <c r="V49" s="34">
        <v>1</v>
      </c>
      <c r="W49" s="37">
        <v>5.5306350075295793E-3</v>
      </c>
    </row>
    <row r="50" spans="1:23" x14ac:dyDescent="0.25">
      <c r="A50" s="6">
        <f t="shared" si="2"/>
        <v>1998</v>
      </c>
      <c r="B50" s="10" t="s">
        <v>2</v>
      </c>
      <c r="C50" s="7" cm="1">
        <f t="array" ref="C50">_xlfn.XLOOKUP(A50,$I$2:$I$27,_xlfn.XLOOKUP(B50,$J$1:$O$1,$J$2:$O$27))</f>
        <v>445719</v>
      </c>
      <c r="I50" s="33">
        <v>2004</v>
      </c>
      <c r="J50" s="34">
        <v>5.1737602856102962E-3</v>
      </c>
      <c r="K50" s="37">
        <v>4.5535186280307512E-2</v>
      </c>
      <c r="L50" s="34">
        <v>6.3048253435242951E-2</v>
      </c>
      <c r="M50" s="37">
        <v>7.398730115211824E-2</v>
      </c>
      <c r="N50" s="34">
        <v>0.20923917118876872</v>
      </c>
      <c r="O50" s="37">
        <v>3.5531055956842084E-2</v>
      </c>
      <c r="P50" s="34">
        <v>0.46865437971757207</v>
      </c>
      <c r="Q50" s="37">
        <v>4.04295769901712E-3</v>
      </c>
      <c r="R50" s="34">
        <v>0.10097721299512216</v>
      </c>
      <c r="S50" s="37">
        <v>2.1427514245541332E-2</v>
      </c>
      <c r="T50" s="34">
        <v>0.15290722237768378</v>
      </c>
      <c r="U50" s="37">
        <v>-1.7694872716762192E-2</v>
      </c>
      <c r="V50" s="34">
        <v>1</v>
      </c>
      <c r="W50" s="37">
        <v>1.3170349166017482E-2</v>
      </c>
    </row>
    <row r="51" spans="1:23" x14ac:dyDescent="0.25">
      <c r="A51" s="6">
        <f t="shared" si="2"/>
        <v>1998</v>
      </c>
      <c r="B51" s="10" t="s">
        <v>3</v>
      </c>
      <c r="C51" s="7" cm="1">
        <f t="array" ref="C51">_xlfn.XLOOKUP(A51,$I$2:$I$27,_xlfn.XLOOKUP(B51,$J$1:$O$1,$J$2:$O$27))</f>
        <v>1347497</v>
      </c>
      <c r="I51" s="33">
        <v>2005</v>
      </c>
      <c r="J51" s="34">
        <v>5.0303802611409683E-3</v>
      </c>
      <c r="K51" s="37">
        <v>-3.7118212669683258E-2</v>
      </c>
      <c r="L51" s="34">
        <v>6.5247197443995056E-2</v>
      </c>
      <c r="M51" s="37">
        <v>2.4866414095996194E-2</v>
      </c>
      <c r="N51" s="34">
        <v>0.21289009548082072</v>
      </c>
      <c r="O51" s="37">
        <v>7.6064172917937756E-3</v>
      </c>
      <c r="P51" s="34">
        <v>0.46236541267290893</v>
      </c>
      <c r="Q51" s="37">
        <v>-2.2962757716368576E-2</v>
      </c>
      <c r="R51" s="34">
        <v>0.10424474116756238</v>
      </c>
      <c r="S51" s="37">
        <v>2.2372677512488635E-2</v>
      </c>
      <c r="T51" s="34">
        <v>0.15022217297357193</v>
      </c>
      <c r="U51" s="37">
        <v>-2.7063492633074733E-2</v>
      </c>
      <c r="V51" s="34">
        <v>1</v>
      </c>
      <c r="W51" s="37">
        <v>-9.6733661448645571E-3</v>
      </c>
    </row>
    <row r="52" spans="1:23" x14ac:dyDescent="0.25">
      <c r="A52" s="6">
        <f t="shared" si="2"/>
        <v>1998</v>
      </c>
      <c r="B52" s="10" t="s">
        <v>4</v>
      </c>
      <c r="C52" s="7" cm="1">
        <f t="array" ref="C52">_xlfn.XLOOKUP(A52,$I$2:$I$27,_xlfn.XLOOKUP(B52,$J$1:$O$1,$J$2:$O$27))</f>
        <v>494851</v>
      </c>
      <c r="I52" s="33">
        <v>2006</v>
      </c>
      <c r="J52" s="34">
        <v>5.0307518532318289E-3</v>
      </c>
      <c r="K52" s="37">
        <v>5.2867317717894121E-3</v>
      </c>
      <c r="L52" s="34">
        <v>6.5977772241537821E-2</v>
      </c>
      <c r="M52" s="37">
        <v>1.646787095167198E-2</v>
      </c>
      <c r="N52" s="34">
        <v>0.21681140504625823</v>
      </c>
      <c r="O52" s="37">
        <v>2.3727896066402021E-2</v>
      </c>
      <c r="P52" s="34">
        <v>0.46006705219473942</v>
      </c>
      <c r="Q52" s="37">
        <v>2.1569199183565867E-4</v>
      </c>
      <c r="R52" s="34">
        <v>0.10422890343499193</v>
      </c>
      <c r="S52" s="37">
        <v>5.0597568623838261E-3</v>
      </c>
      <c r="T52" s="34">
        <v>0.14788411522924075</v>
      </c>
      <c r="U52" s="37">
        <v>-1.0432648806011252E-2</v>
      </c>
      <c r="V52" s="34">
        <v>1</v>
      </c>
      <c r="W52" s="37">
        <v>5.2124771455482298E-3</v>
      </c>
    </row>
    <row r="53" spans="1:23" x14ac:dyDescent="0.25">
      <c r="A53" s="6">
        <f t="shared" si="2"/>
        <v>1998</v>
      </c>
      <c r="B53" s="10" t="s">
        <v>5</v>
      </c>
      <c r="C53" s="7" cm="1">
        <f t="array" ref="C53">_xlfn.XLOOKUP(A53,$I$2:$I$27,_xlfn.XLOOKUP(B53,$J$1:$O$1,$J$2:$O$27))</f>
        <v>247758</v>
      </c>
      <c r="I53" s="33">
        <v>2007</v>
      </c>
      <c r="J53" s="34">
        <v>5.4627038957704103E-3</v>
      </c>
      <c r="K53" s="37">
        <v>9.078956979037324E-2</v>
      </c>
      <c r="L53" s="34">
        <v>6.9580157516375488E-2</v>
      </c>
      <c r="M53" s="37">
        <v>5.9385372808483147E-2</v>
      </c>
      <c r="N53" s="34">
        <v>0.2189540535172329</v>
      </c>
      <c r="O53" s="37">
        <v>1.4465022947441208E-2</v>
      </c>
      <c r="P53" s="34">
        <v>0.45689369162681692</v>
      </c>
      <c r="Q53" s="37">
        <v>-2.3912687541681474E-3</v>
      </c>
      <c r="R53" s="34">
        <v>0.10534817512988279</v>
      </c>
      <c r="S53" s="37">
        <v>1.5324954610354127E-2</v>
      </c>
      <c r="T53" s="34">
        <v>0.14376121831392147</v>
      </c>
      <c r="U53" s="37">
        <v>-2.3468112438223828E-2</v>
      </c>
      <c r="V53" s="34">
        <v>1</v>
      </c>
      <c r="W53" s="37">
        <v>4.5376345508406878E-3</v>
      </c>
    </row>
    <row r="54" spans="1:23" x14ac:dyDescent="0.25">
      <c r="A54" s="6">
        <f t="shared" si="2"/>
        <v>1998</v>
      </c>
      <c r="B54" s="10" t="s">
        <v>6</v>
      </c>
      <c r="C54" s="7" cm="1">
        <f t="array" ref="C54">_xlfn.XLOOKUP(A54,$I$2:$I$27,_xlfn.XLOOKUP(B54,$J$1:$O$1,$J$2:$O$27))</f>
        <v>13084</v>
      </c>
      <c r="I54" s="33">
        <v>2008</v>
      </c>
      <c r="J54" s="34">
        <v>5.3450586872131438E-3</v>
      </c>
      <c r="K54" s="37">
        <v>-2.2967724655149322E-2</v>
      </c>
      <c r="L54" s="34">
        <v>7.3952738852616537E-2</v>
      </c>
      <c r="M54" s="37">
        <v>6.1287253113516522E-2</v>
      </c>
      <c r="N54" s="34">
        <v>0.22140287367880046</v>
      </c>
      <c r="O54" s="37">
        <v>9.7046505139672459E-3</v>
      </c>
      <c r="P54" s="34">
        <v>0.45533591886031671</v>
      </c>
      <c r="Q54" s="37">
        <v>-4.8676565836256198E-3</v>
      </c>
      <c r="R54" s="34">
        <v>0.10582637406032872</v>
      </c>
      <c r="S54" s="37">
        <v>3.0694231290060484E-3</v>
      </c>
      <c r="T54" s="34">
        <v>0.13813703586072443</v>
      </c>
      <c r="U54" s="37">
        <v>-4.0527612107395118E-2</v>
      </c>
      <c r="V54" s="34">
        <v>1</v>
      </c>
      <c r="W54" s="37">
        <v>-1.4631589382001901E-3</v>
      </c>
    </row>
    <row r="55" spans="1:23" x14ac:dyDescent="0.25">
      <c r="A55" s="6">
        <f t="shared" si="2"/>
        <v>1998</v>
      </c>
      <c r="B55" s="10" t="s">
        <v>7</v>
      </c>
      <c r="C55" s="7" cm="1">
        <f t="array" ref="C55">_xlfn.XLOOKUP(A55,$I$2:$I$27,_xlfn.XLOOKUP(B55,$J$1:$O$1,$J$2:$O$27))</f>
        <v>128057</v>
      </c>
      <c r="I55" s="33">
        <v>2009</v>
      </c>
      <c r="J55" s="34">
        <v>4.5889783531116515E-3</v>
      </c>
      <c r="K55" s="37">
        <v>-0.13789322184908506</v>
      </c>
      <c r="L55" s="34">
        <v>7.0375279127280574E-2</v>
      </c>
      <c r="M55" s="37">
        <v>-4.4428042818151645E-2</v>
      </c>
      <c r="N55" s="34">
        <v>0.22280750332070717</v>
      </c>
      <c r="O55" s="37">
        <v>1.0518077791087843E-2</v>
      </c>
      <c r="P55" s="34">
        <v>0.45947496892708234</v>
      </c>
      <c r="Q55" s="37">
        <v>1.3275343710000394E-2</v>
      </c>
      <c r="R55" s="34">
        <v>0.10563588122137817</v>
      </c>
      <c r="S55" s="37">
        <v>2.3400234002340023E-3</v>
      </c>
      <c r="T55" s="34">
        <v>0.1371173890504401</v>
      </c>
      <c r="U55" s="37">
        <v>-3.2644899864222674E-3</v>
      </c>
      <c r="V55" s="34">
        <v>1</v>
      </c>
      <c r="W55" s="37">
        <v>4.1475398846293754E-3</v>
      </c>
    </row>
    <row r="56" spans="1:23" x14ac:dyDescent="0.25">
      <c r="A56" s="6">
        <f t="shared" si="2"/>
        <v>1999</v>
      </c>
      <c r="B56" s="10" t="s">
        <v>2</v>
      </c>
      <c r="C56" s="7" cm="1">
        <f t="array" ref="C56">_xlfn.XLOOKUP(A56,$I$2:$I$27,_xlfn.XLOOKUP(B56,$J$1:$O$1,$J$2:$O$27))</f>
        <v>429496</v>
      </c>
      <c r="I56" s="35">
        <v>2010</v>
      </c>
      <c r="J56" s="36">
        <v>4.2537760350052512E-3</v>
      </c>
      <c r="K56" s="37">
        <v>-0.10104141823674379</v>
      </c>
      <c r="L56" s="36">
        <v>7.4092743452314674E-2</v>
      </c>
      <c r="M56" s="37">
        <v>2.1025566591328509E-2</v>
      </c>
      <c r="N56" s="36">
        <v>0.222649514133611</v>
      </c>
      <c r="O56" s="37">
        <v>-3.0890142367109023E-2</v>
      </c>
      <c r="P56" s="36">
        <v>0.45717822825036941</v>
      </c>
      <c r="Q56" s="37">
        <v>-3.5050123781046494E-2</v>
      </c>
      <c r="R56" s="36">
        <v>0.10652308354374002</v>
      </c>
      <c r="S56" s="37">
        <v>-2.2057452290010431E-2</v>
      </c>
      <c r="T56" s="36">
        <v>0.13530265458495966</v>
      </c>
      <c r="U56" s="37">
        <v>-4.303764463612491E-2</v>
      </c>
      <c r="V56" s="36">
        <v>1</v>
      </c>
      <c r="W56" s="36">
        <v>-3.0202474670145519E-2</v>
      </c>
    </row>
    <row r="57" spans="1:23" x14ac:dyDescent="0.25">
      <c r="A57" s="6">
        <f t="shared" si="2"/>
        <v>1999</v>
      </c>
      <c r="B57" s="10" t="s">
        <v>3</v>
      </c>
      <c r="C57" s="7" cm="1">
        <f t="array" ref="C57">_xlfn.XLOOKUP(A57,$I$2:$I$27,_xlfn.XLOOKUP(B57,$J$1:$O$1,$J$2:$O$27))</f>
        <v>1325097</v>
      </c>
      <c r="I57" s="33">
        <v>2011</v>
      </c>
      <c r="J57" s="34">
        <v>4.3263179550596118E-3</v>
      </c>
      <c r="K57" s="37">
        <v>2.4672798019101522E-2</v>
      </c>
      <c r="L57" s="34">
        <v>7.6183446037145774E-2</v>
      </c>
      <c r="M57" s="37">
        <v>3.5920269693954225E-2</v>
      </c>
      <c r="N57" s="34">
        <v>0.22267599959525947</v>
      </c>
      <c r="O57" s="37">
        <v>7.6113529961360348E-3</v>
      </c>
      <c r="P57" s="34">
        <v>0.45753005963948967</v>
      </c>
      <c r="Q57" s="37">
        <v>8.2668428592234094E-3</v>
      </c>
      <c r="R57" s="34">
        <v>0.10522059292995935</v>
      </c>
      <c r="S57" s="37">
        <v>-4.8274035490421122E-3</v>
      </c>
      <c r="T57" s="34">
        <v>0.13406358384308611</v>
      </c>
      <c r="U57" s="37">
        <v>-1.7348706214673558E-3</v>
      </c>
      <c r="V57" s="34">
        <v>1</v>
      </c>
      <c r="W57" s="37">
        <v>7.4915059901953995E-3</v>
      </c>
    </row>
    <row r="58" spans="1:23" x14ac:dyDescent="0.25">
      <c r="A58" s="6">
        <f t="shared" ref="A58:A89" si="3">A40+3</f>
        <v>1999</v>
      </c>
      <c r="B58" s="10" t="s">
        <v>4</v>
      </c>
      <c r="C58" s="7" cm="1">
        <f t="array" ref="C58">_xlfn.XLOOKUP(A58,$I$2:$I$27,_xlfn.XLOOKUP(B58,$J$1:$O$1,$J$2:$O$27))</f>
        <v>503338</v>
      </c>
      <c r="I58" s="33">
        <v>2012</v>
      </c>
      <c r="J58" s="34">
        <v>4.4014953745438656E-3</v>
      </c>
      <c r="K58" s="37">
        <v>1.1737291792526108E-2</v>
      </c>
      <c r="L58" s="34">
        <v>7.6445147635759075E-2</v>
      </c>
      <c r="M58" s="37">
        <v>-2.1270443395625346E-3</v>
      </c>
      <c r="N58" s="34">
        <v>0.22037701250237945</v>
      </c>
      <c r="O58" s="37">
        <v>-1.581028330739926E-2</v>
      </c>
      <c r="P58" s="34">
        <v>0.46207366262761351</v>
      </c>
      <c r="Q58" s="37">
        <v>4.3325194388044892E-3</v>
      </c>
      <c r="R58" s="34">
        <v>0.10261307577908496</v>
      </c>
      <c r="S58" s="37">
        <v>-3.0187219667291206E-2</v>
      </c>
      <c r="T58" s="34">
        <v>0.13408960608061912</v>
      </c>
      <c r="U58" s="37">
        <v>-5.3501254675441499E-3</v>
      </c>
      <c r="V58" s="34">
        <v>1</v>
      </c>
      <c r="W58" s="37">
        <v>-5.5431532200582541E-3</v>
      </c>
    </row>
    <row r="59" spans="1:23" x14ac:dyDescent="0.25">
      <c r="A59" s="6">
        <f t="shared" si="3"/>
        <v>1999</v>
      </c>
      <c r="B59" s="10" t="s">
        <v>5</v>
      </c>
      <c r="C59" s="7" cm="1">
        <f t="array" ref="C59">_xlfn.XLOOKUP(A59,$I$2:$I$27,_xlfn.XLOOKUP(B59,$J$1:$O$1,$J$2:$O$27))</f>
        <v>254327</v>
      </c>
      <c r="I59" s="33">
        <v>2013</v>
      </c>
      <c r="J59" s="34">
        <v>4.8939370208012142E-3</v>
      </c>
      <c r="K59" s="37">
        <v>0.1061161818647104</v>
      </c>
      <c r="L59" s="34">
        <v>7.6998269553386262E-2</v>
      </c>
      <c r="M59" s="37">
        <v>2.0137030033643573E-3</v>
      </c>
      <c r="N59" s="34">
        <v>0.21413908865661108</v>
      </c>
      <c r="O59" s="37">
        <v>-3.3343271630704226E-2</v>
      </c>
      <c r="P59" s="34">
        <v>0.47213377088282971</v>
      </c>
      <c r="Q59" s="37">
        <v>1.647445788673536E-2</v>
      </c>
      <c r="R59" s="34">
        <v>9.5926373931208619E-2</v>
      </c>
      <c r="S59" s="37">
        <v>-7.0010720780384991E-2</v>
      </c>
      <c r="T59" s="34">
        <v>0.13590855995516313</v>
      </c>
      <c r="U59" s="37">
        <v>8.3105595627436055E-3</v>
      </c>
      <c r="V59" s="34">
        <v>1</v>
      </c>
      <c r="W59" s="37">
        <v>-5.1843255251814123E-3</v>
      </c>
    </row>
    <row r="60" spans="1:23" x14ac:dyDescent="0.25">
      <c r="A60" s="6">
        <f t="shared" si="3"/>
        <v>1999</v>
      </c>
      <c r="B60" s="10" t="s">
        <v>6</v>
      </c>
      <c r="C60" s="7" cm="1">
        <f t="array" ref="C60">_xlfn.XLOOKUP(A60,$I$2:$I$27,_xlfn.XLOOKUP(B60,$J$1:$O$1,$J$2:$O$27))</f>
        <v>13067</v>
      </c>
      <c r="I60" s="33">
        <v>2014</v>
      </c>
      <c r="J60" s="34">
        <v>4.5813962423636992E-3</v>
      </c>
      <c r="K60" s="37">
        <v>-8.0434950258348112E-2</v>
      </c>
      <c r="L60" s="34">
        <v>8.1538018211856925E-2</v>
      </c>
      <c r="M60" s="37">
        <v>4.021272945616744E-2</v>
      </c>
      <c r="N60" s="34">
        <v>0.20676835593806431</v>
      </c>
      <c r="O60" s="37">
        <v>-5.1513613355329016E-2</v>
      </c>
      <c r="P60" s="34">
        <v>0.48000806854420408</v>
      </c>
      <c r="Q60" s="37">
        <v>-1.3197779639447212E-3</v>
      </c>
      <c r="R60" s="34">
        <v>8.8274484189495531E-2</v>
      </c>
      <c r="S60" s="37">
        <v>-9.6058890414569942E-2</v>
      </c>
      <c r="T60" s="34">
        <v>0.13882967687401546</v>
      </c>
      <c r="U60" s="37">
        <v>3.4101259636105125E-3</v>
      </c>
      <c r="V60" s="34">
        <v>1</v>
      </c>
      <c r="W60" s="37">
        <v>-1.7702638695201736E-2</v>
      </c>
    </row>
    <row r="61" spans="1:23" x14ac:dyDescent="0.25">
      <c r="A61" s="6">
        <f t="shared" si="3"/>
        <v>1999</v>
      </c>
      <c r="B61" s="10" t="s">
        <v>7</v>
      </c>
      <c r="C61" s="7" cm="1">
        <f t="array" ref="C61">_xlfn.XLOOKUP(A61,$I$2:$I$27,_xlfn.XLOOKUP(B61,$J$1:$O$1,$J$2:$O$27))</f>
        <v>141894</v>
      </c>
      <c r="I61" s="33">
        <v>2015</v>
      </c>
      <c r="J61" s="34">
        <v>4.4952435288036011E-3</v>
      </c>
      <c r="K61" s="37">
        <v>-4.3190204629319023E-2</v>
      </c>
      <c r="L61" s="34">
        <v>9.0209439183992532E-2</v>
      </c>
      <c r="M61" s="37">
        <v>7.8852506137527742E-2</v>
      </c>
      <c r="N61" s="34">
        <v>0.19837857602158537</v>
      </c>
      <c r="O61" s="37">
        <v>-6.4419982309962168E-2</v>
      </c>
      <c r="P61" s="34">
        <v>0.48785980860640754</v>
      </c>
      <c r="Q61" s="37">
        <v>-8.9016638691380972E-3</v>
      </c>
      <c r="R61" s="34">
        <v>7.9062937349488729E-2</v>
      </c>
      <c r="S61" s="37">
        <v>-0.12661043211810996</v>
      </c>
      <c r="T61" s="34">
        <v>0.13999399530972223</v>
      </c>
      <c r="U61" s="37">
        <v>-1.667441577275193E-2</v>
      </c>
      <c r="V61" s="34">
        <v>1</v>
      </c>
      <c r="W61" s="37">
        <v>-2.4852653014177585E-2</v>
      </c>
    </row>
    <row r="62" spans="1:23" x14ac:dyDescent="0.25">
      <c r="A62" s="6">
        <f t="shared" si="3"/>
        <v>2000</v>
      </c>
      <c r="B62" s="10" t="s">
        <v>2</v>
      </c>
      <c r="C62" s="7" cm="1">
        <f t="array" ref="C62">_xlfn.XLOOKUP(A62,$I$2:$I$27,_xlfn.XLOOKUP(B62,$J$1:$O$1,$J$2:$O$27))</f>
        <v>435774</v>
      </c>
      <c r="I62" s="33" t="s">
        <v>64</v>
      </c>
      <c r="J62" s="34">
        <v>4.756077091151144E-3</v>
      </c>
      <c r="K62" s="34"/>
      <c r="L62" s="34">
        <v>5.9055458341948086E-2</v>
      </c>
      <c r="M62" s="34"/>
      <c r="N62" s="34">
        <v>0.1849858261839909</v>
      </c>
      <c r="O62" s="34"/>
      <c r="P62" s="34">
        <v>0.49808341191666733</v>
      </c>
      <c r="Q62" s="34"/>
      <c r="R62" s="34">
        <v>9.220658399868023E-2</v>
      </c>
      <c r="S62" s="34"/>
      <c r="T62" s="34">
        <v>0.16091264246756232</v>
      </c>
      <c r="U62" s="34"/>
      <c r="V62" s="34">
        <v>1</v>
      </c>
      <c r="W62" s="34"/>
    </row>
    <row r="63" spans="1:23" x14ac:dyDescent="0.25">
      <c r="A63" s="6">
        <f t="shared" si="3"/>
        <v>2000</v>
      </c>
      <c r="B63" s="10" t="s">
        <v>3</v>
      </c>
      <c r="C63" s="7" cm="1">
        <f t="array" ref="C63">_xlfn.XLOOKUP(A63,$I$2:$I$27,_xlfn.XLOOKUP(B63,$J$1:$O$1,$J$2:$O$27))</f>
        <v>1326772</v>
      </c>
    </row>
    <row r="64" spans="1:23" x14ac:dyDescent="0.25">
      <c r="A64" s="6">
        <f t="shared" si="3"/>
        <v>2000</v>
      </c>
      <c r="B64" s="10" t="s">
        <v>4</v>
      </c>
      <c r="C64" s="7" cm="1">
        <f t="array" ref="C64">_xlfn.XLOOKUP(A64,$I$2:$I$27,_xlfn.XLOOKUP(B64,$J$1:$O$1,$J$2:$O$27))</f>
        <v>529536</v>
      </c>
    </row>
    <row r="65" spans="1:23" x14ac:dyDescent="0.25">
      <c r="A65" s="6">
        <f t="shared" si="3"/>
        <v>2000</v>
      </c>
      <c r="B65" s="10" t="s">
        <v>5</v>
      </c>
      <c r="C65" s="7" cm="1">
        <f t="array" ref="C65">_xlfn.XLOOKUP(A65,$I$2:$I$27,_xlfn.XLOOKUP(B65,$J$1:$O$1,$J$2:$O$27))</f>
        <v>263597</v>
      </c>
    </row>
    <row r="66" spans="1:23" x14ac:dyDescent="0.25">
      <c r="A66" s="6">
        <f t="shared" si="3"/>
        <v>2000</v>
      </c>
      <c r="B66" s="10" t="s">
        <v>6</v>
      </c>
      <c r="C66" s="7" cm="1">
        <f t="array" ref="C66">_xlfn.XLOOKUP(A66,$I$2:$I$27,_xlfn.XLOOKUP(B66,$J$1:$O$1,$J$2:$O$27))</f>
        <v>12040</v>
      </c>
    </row>
    <row r="67" spans="1:23" ht="19.5" x14ac:dyDescent="0.3">
      <c r="A67" s="6">
        <f t="shared" si="3"/>
        <v>2000</v>
      </c>
      <c r="B67" s="10" t="s">
        <v>7</v>
      </c>
      <c r="C67" s="7" cm="1">
        <f t="array" ref="C67">_xlfn.XLOOKUP(A67,$I$2:$I$27,_xlfn.XLOOKUP(B67,$J$1:$O$1,$J$2:$O$27))</f>
        <v>139247</v>
      </c>
      <c r="I67" s="45" t="s">
        <v>69</v>
      </c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</row>
    <row r="68" spans="1:23" x14ac:dyDescent="0.25">
      <c r="A68" s="6">
        <f t="shared" si="3"/>
        <v>2001</v>
      </c>
      <c r="B68" s="10" t="s">
        <v>2</v>
      </c>
      <c r="C68" s="7" cm="1">
        <f t="array" ref="C68">_xlfn.XLOOKUP(A68,$I$2:$I$27,_xlfn.XLOOKUP(B68,$J$1:$O$1,$J$2:$O$27))</f>
        <v>440405</v>
      </c>
    </row>
    <row r="69" spans="1:23" x14ac:dyDescent="0.25">
      <c r="A69" s="6">
        <f t="shared" si="3"/>
        <v>2001</v>
      </c>
      <c r="B69" s="10" t="s">
        <v>3</v>
      </c>
      <c r="C69" s="7" cm="1">
        <f t="array" ref="C69">_xlfn.XLOOKUP(A69,$I$2:$I$27,_xlfn.XLOOKUP(B69,$J$1:$O$1,$J$2:$O$27))</f>
        <v>1296712</v>
      </c>
    </row>
    <row r="70" spans="1:23" x14ac:dyDescent="0.25">
      <c r="A70" s="6">
        <f t="shared" si="3"/>
        <v>2001</v>
      </c>
      <c r="B70" s="10" t="s">
        <v>4</v>
      </c>
      <c r="C70" s="7" cm="1">
        <f t="array" ref="C70">_xlfn.XLOOKUP(A70,$I$2:$I$27,_xlfn.XLOOKUP(B70,$J$1:$O$1,$J$2:$O$27))</f>
        <v>533865</v>
      </c>
      <c r="I70" s="26" t="s">
        <v>70</v>
      </c>
      <c r="J70" s="11">
        <v>2009</v>
      </c>
      <c r="K70" s="11">
        <v>2015</v>
      </c>
      <c r="L70" s="26" t="s">
        <v>71</v>
      </c>
    </row>
    <row r="71" spans="1:23" x14ac:dyDescent="0.25">
      <c r="A71" s="6">
        <f t="shared" si="3"/>
        <v>2001</v>
      </c>
      <c r="B71" s="10" t="s">
        <v>5</v>
      </c>
      <c r="C71" s="7" cm="1">
        <f t="array" ref="C71">_xlfn.XLOOKUP(A71,$I$2:$I$27,_xlfn.XLOOKUP(B71,$J$1:$O$1,$J$2:$O$27))</f>
        <v>270706</v>
      </c>
      <c r="I71" s="38" t="s">
        <v>11</v>
      </c>
      <c r="J71" s="2">
        <v>2741133</v>
      </c>
      <c r="K71" s="7">
        <v>2538016</v>
      </c>
      <c r="L71" s="14">
        <f>(K71-J71)/J71</f>
        <v>-7.409965149447327E-2</v>
      </c>
    </row>
    <row r="72" spans="1:23" x14ac:dyDescent="0.25">
      <c r="A72" s="6">
        <f t="shared" si="3"/>
        <v>2001</v>
      </c>
      <c r="B72" s="10" t="s">
        <v>6</v>
      </c>
      <c r="C72" s="7" cm="1">
        <f t="array" ref="C72">_xlfn.XLOOKUP(A72,$I$2:$I$27,_xlfn.XLOOKUP(B72,$J$1:$O$1,$J$2:$O$27))</f>
        <v>12048</v>
      </c>
      <c r="I72" s="39" t="s">
        <v>2</v>
      </c>
      <c r="J72" s="24" cm="1">
        <f t="array" ref="J72">_xlfn.XLOOKUP(I72,$J$1:$O$1,_xlfn.XLOOKUP($J$70,$I$21:$I$27,$J$21:$O$27))</f>
        <v>375857</v>
      </c>
      <c r="K72" s="24" cm="1">
        <f t="array" ref="K72">_xlfn.XLOOKUP(I72,$J$1:$O$1,_xlfn.XLOOKUP($K$70,$I$22:$I$27,$J$22:$O$27))</f>
        <v>355307</v>
      </c>
      <c r="L72" s="14">
        <f>(K72-J72)/J72</f>
        <v>-5.467504928736195E-2</v>
      </c>
    </row>
    <row r="73" spans="1:23" x14ac:dyDescent="0.25">
      <c r="A73" s="6">
        <f t="shared" si="3"/>
        <v>2001</v>
      </c>
      <c r="B73" s="10" t="s">
        <v>7</v>
      </c>
      <c r="C73" s="7" cm="1">
        <f t="array" ref="C73">_xlfn.XLOOKUP(A73,$I$2:$I$27,_xlfn.XLOOKUP(B73,$J$1:$O$1,$J$2:$O$27))</f>
        <v>151147</v>
      </c>
      <c r="I73" s="39" t="s">
        <v>3</v>
      </c>
      <c r="J73" s="24" cm="1">
        <f t="array" ref="J73">_xlfn.XLOOKUP(I73,$J$1:$O$1,_xlfn.XLOOKUP($J$70,$I$21:$I$27,$J$21:$O$27))</f>
        <v>1259482</v>
      </c>
      <c r="K73" s="24" cm="1">
        <f t="array" ref="K73">_xlfn.XLOOKUP(I73,$J$1:$O$1,_xlfn.XLOOKUP($K$70,$I$22:$I$27,$J$22:$O$27))</f>
        <v>1238196</v>
      </c>
      <c r="L73" s="14">
        <f t="shared" ref="L73:L77" si="4">(K73-J73)/J73</f>
        <v>-1.6900598817609143E-2</v>
      </c>
    </row>
    <row r="74" spans="1:23" x14ac:dyDescent="0.25">
      <c r="A74" s="6">
        <f t="shared" si="3"/>
        <v>2002</v>
      </c>
      <c r="B74" s="10" t="s">
        <v>2</v>
      </c>
      <c r="C74" s="7" cm="1">
        <f t="array" ref="C74">_xlfn.XLOOKUP(A74,$I$2:$I$27,_xlfn.XLOOKUP(B74,$J$1:$O$1,$J$2:$O$27))</f>
        <v>424771</v>
      </c>
      <c r="I74" s="39" t="s">
        <v>4</v>
      </c>
      <c r="J74" s="24" cm="1">
        <f t="array" ref="J74">_xlfn.XLOOKUP(I74,$J$1:$O$1,_xlfn.XLOOKUP($J$70,$I$21:$I$27,$J$21:$O$27))</f>
        <v>610745</v>
      </c>
      <c r="K74" s="24" cm="1">
        <f t="array" ref="K74">_xlfn.XLOOKUP(I74,$J$1:$O$1,_xlfn.XLOOKUP($K$70,$I$22:$I$27,$J$22:$O$27))</f>
        <v>503488</v>
      </c>
      <c r="L74" s="14">
        <f t="shared" si="4"/>
        <v>-0.17561666489287672</v>
      </c>
    </row>
    <row r="75" spans="1:23" x14ac:dyDescent="0.25">
      <c r="A75" s="6">
        <f t="shared" si="3"/>
        <v>2002</v>
      </c>
      <c r="B75" s="10" t="s">
        <v>3</v>
      </c>
      <c r="C75" s="7" cm="1">
        <f t="array" ref="C75">_xlfn.XLOOKUP(A75,$I$2:$I$27,_xlfn.XLOOKUP(B75,$J$1:$O$1,$J$2:$O$27))</f>
        <v>1272619</v>
      </c>
      <c r="I75" s="39" t="s">
        <v>5</v>
      </c>
      <c r="J75" s="24" cm="1">
        <f t="array" ref="J75">_xlfn.XLOOKUP(I75,$J$1:$O$1,_xlfn.XLOOKUP($J$70,$I$21:$I$27,$J$21:$O$27))</f>
        <v>289562</v>
      </c>
      <c r="K75" s="24" cm="1">
        <f t="array" ref="K75">_xlfn.XLOOKUP(I75,$J$1:$O$1,_xlfn.XLOOKUP($K$70,$I$22:$I$27,$J$22:$O$27))</f>
        <v>200663</v>
      </c>
      <c r="L75" s="14">
        <f t="shared" si="4"/>
        <v>-0.30701196980266748</v>
      </c>
    </row>
    <row r="76" spans="1:23" x14ac:dyDescent="0.25">
      <c r="A76" s="6">
        <f t="shared" si="3"/>
        <v>2002</v>
      </c>
      <c r="B76" s="10" t="s">
        <v>4</v>
      </c>
      <c r="C76" s="7" cm="1">
        <f t="array" ref="C76">_xlfn.XLOOKUP(A76,$I$2:$I$27,_xlfn.XLOOKUP(B76,$J$1:$O$1,$J$2:$O$27))</f>
        <v>540836</v>
      </c>
      <c r="I76" s="39" t="s">
        <v>6</v>
      </c>
      <c r="J76" s="24" cm="1">
        <f t="array" ref="J76">_xlfn.XLOOKUP(I76,$J$1:$O$1,_xlfn.XLOOKUP($J$70,$I$21:$I$27,$J$21:$O$27))</f>
        <v>12579</v>
      </c>
      <c r="K76" s="24" cm="1">
        <f t="array" ref="K76">_xlfn.XLOOKUP(I76,$J$1:$O$1,_xlfn.XLOOKUP($K$70,$I$22:$I$27,$J$22:$O$27))</f>
        <v>11409</v>
      </c>
      <c r="L76" s="14">
        <f t="shared" si="4"/>
        <v>-9.3012163129024564E-2</v>
      </c>
    </row>
    <row r="77" spans="1:23" x14ac:dyDescent="0.25">
      <c r="A77" s="6">
        <f t="shared" si="3"/>
        <v>2002</v>
      </c>
      <c r="B77" s="10" t="s">
        <v>5</v>
      </c>
      <c r="C77" s="7" cm="1">
        <f t="array" ref="C77">_xlfn.XLOOKUP(A77,$I$2:$I$27,_xlfn.XLOOKUP(B77,$J$1:$O$1,$J$2:$O$27))</f>
        <v>277006</v>
      </c>
      <c r="I77" s="39" t="s">
        <v>7</v>
      </c>
      <c r="J77" s="24" cm="1">
        <f t="array" ref="J77">_xlfn.XLOOKUP(I77,$J$1:$O$1,_xlfn.XLOOKUP($J$70,$I$21:$I$27,$J$21:$O$27))</f>
        <v>192908</v>
      </c>
      <c r="K77" s="24" cm="1">
        <f t="array" ref="K77">_xlfn.XLOOKUP(I77,$J$1:$O$1,_xlfn.XLOOKUP($K$70,$I$22:$I$27,$J$22:$O$27))</f>
        <v>228953</v>
      </c>
      <c r="L77" s="14">
        <f t="shared" si="4"/>
        <v>0.18685072677131068</v>
      </c>
    </row>
    <row r="78" spans="1:23" x14ac:dyDescent="0.25">
      <c r="A78" s="6">
        <f t="shared" si="3"/>
        <v>2002</v>
      </c>
      <c r="B78" s="10" t="s">
        <v>6</v>
      </c>
      <c r="C78" s="7" cm="1">
        <f t="array" ref="C78">_xlfn.XLOOKUP(A78,$I$2:$I$27,_xlfn.XLOOKUP(B78,$J$1:$O$1,$J$2:$O$27))</f>
        <v>13217</v>
      </c>
    </row>
    <row r="79" spans="1:23" x14ac:dyDescent="0.25">
      <c r="A79" s="6">
        <f t="shared" si="3"/>
        <v>2002</v>
      </c>
      <c r="B79" s="10" t="s">
        <v>7</v>
      </c>
      <c r="C79" s="7" cm="1">
        <f t="array" ref="C79">_xlfn.XLOOKUP(A79,$I$2:$I$27,_xlfn.XLOOKUP(B79,$J$1:$O$1,$J$2:$O$27))</f>
        <v>154968</v>
      </c>
    </row>
    <row r="80" spans="1:23" x14ac:dyDescent="0.25">
      <c r="A80" s="6">
        <f t="shared" si="3"/>
        <v>2003</v>
      </c>
      <c r="B80" s="10" t="s">
        <v>2</v>
      </c>
      <c r="C80" s="7" cm="1">
        <f t="array" ref="C80">_xlfn.XLOOKUP(A80,$I$2:$I$27,_xlfn.XLOOKUP(B80,$J$1:$O$1,$J$2:$O$27))</f>
        <v>425547</v>
      </c>
      <c r="I80" s="40" t="s">
        <v>72</v>
      </c>
    </row>
    <row r="81" spans="1:9" x14ac:dyDescent="0.25">
      <c r="A81" s="6">
        <f t="shared" si="3"/>
        <v>2003</v>
      </c>
      <c r="B81" s="10" t="s">
        <v>3</v>
      </c>
      <c r="C81" s="7" cm="1">
        <f t="array" ref="C81">_xlfn.XLOOKUP(A81,$I$2:$I$27,_xlfn.XLOOKUP(B81,$J$1:$O$1,$J$2:$O$27))</f>
        <v>1276046</v>
      </c>
      <c r="I81" s="40" t="s">
        <v>73</v>
      </c>
    </row>
    <row r="82" spans="1:9" x14ac:dyDescent="0.25">
      <c r="A82" s="6">
        <f t="shared" si="3"/>
        <v>2003</v>
      </c>
      <c r="B82" s="10" t="s">
        <v>4</v>
      </c>
      <c r="C82" s="7" cm="1">
        <f t="array" ref="C82">_xlfn.XLOOKUP(A82,$I$2:$I$27,_xlfn.XLOOKUP(B82,$J$1:$O$1,$J$2:$O$27))</f>
        <v>552390</v>
      </c>
      <c r="I82" s="40" t="s">
        <v>74</v>
      </c>
    </row>
    <row r="83" spans="1:9" ht="15.75" x14ac:dyDescent="0.25">
      <c r="A83" s="6">
        <f t="shared" si="3"/>
        <v>2003</v>
      </c>
      <c r="B83" s="10" t="s">
        <v>5</v>
      </c>
      <c r="C83" s="7" cm="1">
        <f t="array" ref="C83">_xlfn.XLOOKUP(A83,$I$2:$I$27,_xlfn.XLOOKUP(B83,$J$1:$O$1,$J$2:$O$27))</f>
        <v>270260</v>
      </c>
      <c r="I83" s="42" t="s">
        <v>75</v>
      </c>
    </row>
    <row r="84" spans="1:9" x14ac:dyDescent="0.25">
      <c r="A84" s="6">
        <f t="shared" si="3"/>
        <v>2003</v>
      </c>
      <c r="B84" s="10" t="s">
        <v>6</v>
      </c>
      <c r="C84" s="7" cm="1">
        <f t="array" ref="C84">_xlfn.XLOOKUP(A84,$I$2:$I$27,_xlfn.XLOOKUP(B84,$J$1:$O$1,$J$2:$O$27))</f>
        <v>13528</v>
      </c>
      <c r="I84" s="41"/>
    </row>
    <row r="85" spans="1:9" ht="15.75" x14ac:dyDescent="0.25">
      <c r="A85" s="6">
        <f t="shared" si="3"/>
        <v>2003</v>
      </c>
      <c r="B85" s="10" t="s">
        <v>7</v>
      </c>
      <c r="C85" s="7" cm="1">
        <f t="array" ref="C85">_xlfn.XLOOKUP(A85,$I$2:$I$27,_xlfn.XLOOKUP(B85,$J$1:$O$1,$J$2:$O$27))</f>
        <v>160487</v>
      </c>
      <c r="I85" s="43" t="s">
        <v>76</v>
      </c>
    </row>
    <row r="86" spans="1:9" x14ac:dyDescent="0.25">
      <c r="A86" s="6">
        <f t="shared" si="3"/>
        <v>2004</v>
      </c>
      <c r="B86" s="10" t="s">
        <v>2</v>
      </c>
      <c r="C86" s="7" cm="1">
        <f t="array" ref="C86">_xlfn.XLOOKUP(A86,$I$2:$I$27,_xlfn.XLOOKUP(B86,$J$1:$O$1,$J$2:$O$27))</f>
        <v>418017</v>
      </c>
    </row>
    <row r="87" spans="1:9" x14ac:dyDescent="0.25">
      <c r="A87" s="6">
        <f t="shared" si="3"/>
        <v>2004</v>
      </c>
      <c r="B87" s="10" t="s">
        <v>3</v>
      </c>
      <c r="C87" s="7" cm="1">
        <f t="array" ref="C87">_xlfn.XLOOKUP(A87,$I$2:$I$27,_xlfn.XLOOKUP(B87,$J$1:$O$1,$J$2:$O$27))</f>
        <v>1281205</v>
      </c>
    </row>
    <row r="88" spans="1:9" x14ac:dyDescent="0.25">
      <c r="A88" s="6">
        <f t="shared" si="3"/>
        <v>2004</v>
      </c>
      <c r="B88" s="10" t="s">
        <v>4</v>
      </c>
      <c r="C88" s="7" cm="1">
        <f t="array" ref="C88">_xlfn.XLOOKUP(A88,$I$2:$I$27,_xlfn.XLOOKUP(B88,$J$1:$O$1,$J$2:$O$27))</f>
        <v>572017</v>
      </c>
    </row>
    <row r="89" spans="1:9" x14ac:dyDescent="0.25">
      <c r="A89" s="6">
        <f t="shared" si="3"/>
        <v>2004</v>
      </c>
      <c r="B89" s="10" t="s">
        <v>5</v>
      </c>
      <c r="C89" s="7" cm="1">
        <f t="array" ref="C89">_xlfn.XLOOKUP(A89,$I$2:$I$27,_xlfn.XLOOKUP(B89,$J$1:$O$1,$J$2:$O$27))</f>
        <v>276051</v>
      </c>
    </row>
    <row r="90" spans="1:9" x14ac:dyDescent="0.25">
      <c r="A90" s="6">
        <f t="shared" ref="A90:A121" si="5">A72+3</f>
        <v>2004</v>
      </c>
      <c r="B90" s="10" t="s">
        <v>6</v>
      </c>
      <c r="C90" s="7" cm="1">
        <f t="array" ref="C90">_xlfn.XLOOKUP(A90,$I$2:$I$27,_xlfn.XLOOKUP(B90,$J$1:$O$1,$J$2:$O$27))</f>
        <v>14144</v>
      </c>
    </row>
    <row r="91" spans="1:9" x14ac:dyDescent="0.25">
      <c r="A91" s="6">
        <f t="shared" si="5"/>
        <v>2004</v>
      </c>
      <c r="B91" s="10" t="s">
        <v>7</v>
      </c>
      <c r="C91" s="7" cm="1">
        <f t="array" ref="C91">_xlfn.XLOOKUP(A91,$I$2:$I$27,_xlfn.XLOOKUP(B91,$J$1:$O$1,$J$2:$O$27))</f>
        <v>172361</v>
      </c>
    </row>
    <row r="92" spans="1:9" x14ac:dyDescent="0.25">
      <c r="A92" s="6">
        <f t="shared" si="5"/>
        <v>2005</v>
      </c>
      <c r="B92" s="10" t="s">
        <v>2</v>
      </c>
      <c r="C92" s="7" cm="1">
        <f t="array" ref="C92">_xlfn.XLOOKUP(A92,$I$2:$I$27,_xlfn.XLOOKUP(B92,$J$1:$O$1,$J$2:$O$27))</f>
        <v>406704</v>
      </c>
    </row>
    <row r="93" spans="1:9" x14ac:dyDescent="0.25">
      <c r="A93" s="6">
        <f t="shared" si="5"/>
        <v>2005</v>
      </c>
      <c r="B93" s="10" t="s">
        <v>3</v>
      </c>
      <c r="C93" s="7" cm="1">
        <f t="array" ref="C93">_xlfn.XLOOKUP(A93,$I$2:$I$27,_xlfn.XLOOKUP(B93,$J$1:$O$1,$J$2:$O$27))</f>
        <v>1251785</v>
      </c>
    </row>
    <row r="94" spans="1:9" x14ac:dyDescent="0.25">
      <c r="A94" s="6">
        <f t="shared" si="5"/>
        <v>2005</v>
      </c>
      <c r="B94" s="10" t="s">
        <v>4</v>
      </c>
      <c r="C94" s="7" cm="1">
        <f t="array" ref="C94">_xlfn.XLOOKUP(A94,$I$2:$I$27,_xlfn.XLOOKUP(B94,$J$1:$O$1,$J$2:$O$27))</f>
        <v>576368</v>
      </c>
    </row>
    <row r="95" spans="1:9" x14ac:dyDescent="0.25">
      <c r="A95" s="6">
        <f t="shared" si="5"/>
        <v>2005</v>
      </c>
      <c r="B95" s="10" t="s">
        <v>5</v>
      </c>
      <c r="C95" s="7" cm="1">
        <f t="array" ref="C95">_xlfn.XLOOKUP(A95,$I$2:$I$27,_xlfn.XLOOKUP(B95,$J$1:$O$1,$J$2:$O$27))</f>
        <v>282227</v>
      </c>
    </row>
    <row r="96" spans="1:9" x14ac:dyDescent="0.25">
      <c r="A96" s="6">
        <f t="shared" si="5"/>
        <v>2005</v>
      </c>
      <c r="B96" s="10" t="s">
        <v>6</v>
      </c>
      <c r="C96" s="7" cm="1">
        <f t="array" ref="C96">_xlfn.XLOOKUP(A96,$I$2:$I$27,_xlfn.XLOOKUP(B96,$J$1:$O$1,$J$2:$O$27))</f>
        <v>13619</v>
      </c>
    </row>
    <row r="97" spans="1:3" x14ac:dyDescent="0.25">
      <c r="A97" s="6">
        <f t="shared" si="5"/>
        <v>2005</v>
      </c>
      <c r="B97" s="10" t="s">
        <v>7</v>
      </c>
      <c r="C97" s="7" cm="1">
        <f t="array" ref="C97">_xlfn.XLOOKUP(A97,$I$2:$I$27,_xlfn.XLOOKUP(B97,$J$1:$O$1,$J$2:$O$27))</f>
        <v>176647</v>
      </c>
    </row>
    <row r="98" spans="1:3" x14ac:dyDescent="0.25">
      <c r="A98" s="6">
        <f t="shared" si="5"/>
        <v>2006</v>
      </c>
      <c r="B98" s="10" t="s">
        <v>2</v>
      </c>
      <c r="C98" s="7" cm="1">
        <f t="array" ref="C98">_xlfn.XLOOKUP(A98,$I$2:$I$27,_xlfn.XLOOKUP(B98,$J$1:$O$1,$J$2:$O$27))</f>
        <v>402461</v>
      </c>
    </row>
    <row r="99" spans="1:3" x14ac:dyDescent="0.25">
      <c r="A99" s="6">
        <f t="shared" si="5"/>
        <v>2006</v>
      </c>
      <c r="B99" s="10" t="s">
        <v>3</v>
      </c>
      <c r="C99" s="7" cm="1">
        <f t="array" ref="C99">_xlfn.XLOOKUP(A99,$I$2:$I$27,_xlfn.XLOOKUP(B99,$J$1:$O$1,$J$2:$O$27))</f>
        <v>1252055</v>
      </c>
    </row>
    <row r="100" spans="1:3" x14ac:dyDescent="0.25">
      <c r="A100" s="6">
        <f t="shared" si="5"/>
        <v>2006</v>
      </c>
      <c r="B100" s="10" t="s">
        <v>4</v>
      </c>
      <c r="C100" s="7" cm="1">
        <f t="array" ref="C100">_xlfn.XLOOKUP(A100,$I$2:$I$27,_xlfn.XLOOKUP(B100,$J$1:$O$1,$J$2:$O$27))</f>
        <v>590044</v>
      </c>
    </row>
    <row r="101" spans="1:3" x14ac:dyDescent="0.25">
      <c r="A101" s="6">
        <f t="shared" si="5"/>
        <v>2006</v>
      </c>
      <c r="B101" s="10" t="s">
        <v>5</v>
      </c>
      <c r="C101" s="7" cm="1">
        <f t="array" ref="C101">_xlfn.XLOOKUP(A101,$I$2:$I$27,_xlfn.XLOOKUP(B101,$J$1:$O$1,$J$2:$O$27))</f>
        <v>283655</v>
      </c>
    </row>
    <row r="102" spans="1:3" x14ac:dyDescent="0.25">
      <c r="A102" s="6">
        <f t="shared" si="5"/>
        <v>2006</v>
      </c>
      <c r="B102" s="10" t="s">
        <v>6</v>
      </c>
      <c r="C102" s="7" cm="1">
        <f t="array" ref="C102">_xlfn.XLOOKUP(A102,$I$2:$I$27,_xlfn.XLOOKUP(B102,$J$1:$O$1,$J$2:$O$27))</f>
        <v>13691</v>
      </c>
    </row>
    <row r="103" spans="1:3" x14ac:dyDescent="0.25">
      <c r="A103" s="6">
        <f t="shared" si="5"/>
        <v>2006</v>
      </c>
      <c r="B103" s="10" t="s">
        <v>7</v>
      </c>
      <c r="C103" s="7" cm="1">
        <f t="array" ref="C103">_xlfn.XLOOKUP(A103,$I$2:$I$27,_xlfn.XLOOKUP(B103,$J$1:$O$1,$J$2:$O$27))</f>
        <v>179556</v>
      </c>
    </row>
    <row r="104" spans="1:3" x14ac:dyDescent="0.25">
      <c r="A104" s="6">
        <f t="shared" si="5"/>
        <v>2007</v>
      </c>
      <c r="B104" s="10" t="s">
        <v>2</v>
      </c>
      <c r="C104" s="7" cm="1">
        <f t="array" ref="C104">_xlfn.XLOOKUP(A104,$I$2:$I$27,_xlfn.XLOOKUP(B104,$J$1:$O$1,$J$2:$O$27))</f>
        <v>393016</v>
      </c>
    </row>
    <row r="105" spans="1:3" x14ac:dyDescent="0.25">
      <c r="A105" s="6">
        <f t="shared" si="5"/>
        <v>2007</v>
      </c>
      <c r="B105" s="10" t="s">
        <v>3</v>
      </c>
      <c r="C105" s="7" cm="1">
        <f t="array" ref="C105">_xlfn.XLOOKUP(A105,$I$2:$I$27,_xlfn.XLOOKUP(B105,$J$1:$O$1,$J$2:$O$27))</f>
        <v>1249061</v>
      </c>
    </row>
    <row r="106" spans="1:3" x14ac:dyDescent="0.25">
      <c r="A106" s="6">
        <f t="shared" si="5"/>
        <v>2007</v>
      </c>
      <c r="B106" s="10" t="s">
        <v>4</v>
      </c>
      <c r="C106" s="7" cm="1">
        <f t="array" ref="C106">_xlfn.XLOOKUP(A106,$I$2:$I$27,_xlfn.XLOOKUP(B106,$J$1:$O$1,$J$2:$O$27))</f>
        <v>598579</v>
      </c>
    </row>
    <row r="107" spans="1:3" x14ac:dyDescent="0.25">
      <c r="A107" s="6">
        <f t="shared" si="5"/>
        <v>2007</v>
      </c>
      <c r="B107" s="10" t="s">
        <v>5</v>
      </c>
      <c r="C107" s="7" cm="1">
        <f t="array" ref="C107">_xlfn.XLOOKUP(A107,$I$2:$I$27,_xlfn.XLOOKUP(B107,$J$1:$O$1,$J$2:$O$27))</f>
        <v>288002</v>
      </c>
    </row>
    <row r="108" spans="1:3" x14ac:dyDescent="0.25">
      <c r="A108" s="6">
        <f t="shared" si="5"/>
        <v>2007</v>
      </c>
      <c r="B108" s="10" t="s">
        <v>6</v>
      </c>
      <c r="C108" s="7" cm="1">
        <f t="array" ref="C108">_xlfn.XLOOKUP(A108,$I$2:$I$27,_xlfn.XLOOKUP(B108,$J$1:$O$1,$J$2:$O$27))</f>
        <v>14934</v>
      </c>
    </row>
    <row r="109" spans="1:3" x14ac:dyDescent="0.25">
      <c r="A109" s="6">
        <f t="shared" si="5"/>
        <v>2007</v>
      </c>
      <c r="B109" s="10" t="s">
        <v>7</v>
      </c>
      <c r="C109" s="7" cm="1">
        <f t="array" ref="C109">_xlfn.XLOOKUP(A109,$I$2:$I$27,_xlfn.XLOOKUP(B109,$J$1:$O$1,$J$2:$O$27))</f>
        <v>190219</v>
      </c>
    </row>
    <row r="110" spans="1:3" x14ac:dyDescent="0.25">
      <c r="A110" s="6">
        <f t="shared" si="5"/>
        <v>2008</v>
      </c>
      <c r="B110" s="10" t="s">
        <v>2</v>
      </c>
      <c r="C110" s="7" cm="1">
        <f t="array" ref="C110">_xlfn.XLOOKUP(A110,$I$2:$I$27,_xlfn.XLOOKUP(B110,$J$1:$O$1,$J$2:$O$27))</f>
        <v>377088</v>
      </c>
    </row>
    <row r="111" spans="1:3" x14ac:dyDescent="0.25">
      <c r="A111" s="6">
        <f t="shared" si="5"/>
        <v>2008</v>
      </c>
      <c r="B111" s="10" t="s">
        <v>3</v>
      </c>
      <c r="C111" s="7" cm="1">
        <f t="array" ref="C111">_xlfn.XLOOKUP(A111,$I$2:$I$27,_xlfn.XLOOKUP(B111,$J$1:$O$1,$J$2:$O$27))</f>
        <v>1242981</v>
      </c>
    </row>
    <row r="112" spans="1:3" x14ac:dyDescent="0.25">
      <c r="A112" s="6">
        <f t="shared" si="5"/>
        <v>2008</v>
      </c>
      <c r="B112" s="10" t="s">
        <v>4</v>
      </c>
      <c r="C112" s="7" cm="1">
        <f t="array" ref="C112">_xlfn.XLOOKUP(A112,$I$2:$I$27,_xlfn.XLOOKUP(B112,$J$1:$O$1,$J$2:$O$27))</f>
        <v>604388</v>
      </c>
    </row>
    <row r="113" spans="1:3" x14ac:dyDescent="0.25">
      <c r="A113" s="6">
        <f t="shared" si="5"/>
        <v>2008</v>
      </c>
      <c r="B113" s="10" t="s">
        <v>5</v>
      </c>
      <c r="C113" s="7" cm="1">
        <f t="array" ref="C113">_xlfn.XLOOKUP(A113,$I$2:$I$27,_xlfn.XLOOKUP(B113,$J$1:$O$1,$J$2:$O$27))</f>
        <v>288886</v>
      </c>
    </row>
    <row r="114" spans="1:3" x14ac:dyDescent="0.25">
      <c r="A114" s="6">
        <f t="shared" si="5"/>
        <v>2008</v>
      </c>
      <c r="B114" s="10" t="s">
        <v>6</v>
      </c>
      <c r="C114" s="7" cm="1">
        <f t="array" ref="C114">_xlfn.XLOOKUP(A114,$I$2:$I$27,_xlfn.XLOOKUP(B114,$J$1:$O$1,$J$2:$O$27))</f>
        <v>14591</v>
      </c>
    </row>
    <row r="115" spans="1:3" x14ac:dyDescent="0.25">
      <c r="A115" s="6">
        <f t="shared" si="5"/>
        <v>2008</v>
      </c>
      <c r="B115" s="10" t="s">
        <v>7</v>
      </c>
      <c r="C115" s="7" cm="1">
        <f t="array" ref="C115">_xlfn.XLOOKUP(A115,$I$2:$I$27,_xlfn.XLOOKUP(B115,$J$1:$O$1,$J$2:$O$27))</f>
        <v>201877</v>
      </c>
    </row>
    <row r="116" spans="1:3" x14ac:dyDescent="0.25">
      <c r="A116" s="6">
        <f t="shared" si="5"/>
        <v>2009</v>
      </c>
      <c r="B116" s="10" t="s">
        <v>2</v>
      </c>
      <c r="C116" s="7" cm="1">
        <f t="array" ref="C116">_xlfn.XLOOKUP(A116,$I$2:$I$27,_xlfn.XLOOKUP(B116,$J$1:$O$1,$J$2:$O$27))</f>
        <v>375857</v>
      </c>
    </row>
    <row r="117" spans="1:3" x14ac:dyDescent="0.25">
      <c r="A117" s="6">
        <f t="shared" si="5"/>
        <v>2009</v>
      </c>
      <c r="B117" s="10" t="s">
        <v>3</v>
      </c>
      <c r="C117" s="7" cm="1">
        <f t="array" ref="C117">_xlfn.XLOOKUP(A117,$I$2:$I$27,_xlfn.XLOOKUP(B117,$J$1:$O$1,$J$2:$O$27))</f>
        <v>1259482</v>
      </c>
    </row>
    <row r="118" spans="1:3" x14ac:dyDescent="0.25">
      <c r="A118" s="6">
        <f t="shared" si="5"/>
        <v>2009</v>
      </c>
      <c r="B118" s="10" t="s">
        <v>4</v>
      </c>
      <c r="C118" s="7" cm="1">
        <f t="array" ref="C118">_xlfn.XLOOKUP(A118,$I$2:$I$27,_xlfn.XLOOKUP(B118,$J$1:$O$1,$J$2:$O$27))</f>
        <v>610745</v>
      </c>
    </row>
    <row r="119" spans="1:3" x14ac:dyDescent="0.25">
      <c r="A119" s="6">
        <f t="shared" si="5"/>
        <v>2009</v>
      </c>
      <c r="B119" s="10" t="s">
        <v>5</v>
      </c>
      <c r="C119" s="7" cm="1">
        <f t="array" ref="C119">_xlfn.XLOOKUP(A119,$I$2:$I$27,_xlfn.XLOOKUP(B119,$J$1:$O$1,$J$2:$O$27))</f>
        <v>289562</v>
      </c>
    </row>
    <row r="120" spans="1:3" x14ac:dyDescent="0.25">
      <c r="A120" s="6">
        <f t="shared" si="5"/>
        <v>2009</v>
      </c>
      <c r="B120" s="10" t="s">
        <v>6</v>
      </c>
      <c r="C120" s="7" cm="1">
        <f t="array" ref="C120">_xlfn.XLOOKUP(A120,$I$2:$I$27,_xlfn.XLOOKUP(B120,$J$1:$O$1,$J$2:$O$27))</f>
        <v>12579</v>
      </c>
    </row>
    <row r="121" spans="1:3" x14ac:dyDescent="0.25">
      <c r="A121" s="6">
        <f t="shared" si="5"/>
        <v>2009</v>
      </c>
      <c r="B121" s="10" t="s">
        <v>7</v>
      </c>
      <c r="C121" s="7" cm="1">
        <f t="array" ref="C121">_xlfn.XLOOKUP(A121,$I$2:$I$27,_xlfn.XLOOKUP(B121,$J$1:$O$1,$J$2:$O$27))</f>
        <v>192908</v>
      </c>
    </row>
    <row r="122" spans="1:3" x14ac:dyDescent="0.25">
      <c r="A122" s="6">
        <f t="shared" ref="A122:A153" si="6">A104+3</f>
        <v>2010</v>
      </c>
      <c r="B122" s="10" t="s">
        <v>2</v>
      </c>
      <c r="C122" s="7" cm="1">
        <f t="array" ref="C122">_xlfn.XLOOKUP(A122,$I$2:$I$27,_xlfn.XLOOKUP(B122,$J$1:$O$1,$J$2:$O$27))</f>
        <v>359681</v>
      </c>
    </row>
    <row r="123" spans="1:3" x14ac:dyDescent="0.25">
      <c r="A123" s="6">
        <f t="shared" si="6"/>
        <v>2010</v>
      </c>
      <c r="B123" s="10" t="s">
        <v>3</v>
      </c>
      <c r="C123" s="7" cm="1">
        <f t="array" ref="C123">_xlfn.XLOOKUP(A123,$I$2:$I$27,_xlfn.XLOOKUP(B123,$J$1:$O$1,$J$2:$O$27))</f>
        <v>1215337</v>
      </c>
    </row>
    <row r="124" spans="1:3" x14ac:dyDescent="0.25">
      <c r="A124" s="6">
        <f t="shared" si="6"/>
        <v>2010</v>
      </c>
      <c r="B124" s="10" t="s">
        <v>4</v>
      </c>
      <c r="C124" s="7" cm="1">
        <f t="array" ref="C124">_xlfn.XLOOKUP(A124,$I$2:$I$27,_xlfn.XLOOKUP(B124,$J$1:$O$1,$J$2:$O$27))</f>
        <v>591879</v>
      </c>
    </row>
    <row r="125" spans="1:3" x14ac:dyDescent="0.25">
      <c r="A125" s="6">
        <f t="shared" si="6"/>
        <v>2010</v>
      </c>
      <c r="B125" s="10" t="s">
        <v>5</v>
      </c>
      <c r="C125" s="7" cm="1">
        <f t="array" ref="C125">_xlfn.XLOOKUP(A125,$I$2:$I$27,_xlfn.XLOOKUP(B125,$J$1:$O$1,$J$2:$O$27))</f>
        <v>283175</v>
      </c>
    </row>
    <row r="126" spans="1:3" x14ac:dyDescent="0.25">
      <c r="A126" s="6">
        <f t="shared" si="6"/>
        <v>2010</v>
      </c>
      <c r="B126" s="10" t="s">
        <v>6</v>
      </c>
      <c r="C126" s="7" cm="1">
        <f t="array" ref="C126">_xlfn.XLOOKUP(A126,$I$2:$I$27,_xlfn.XLOOKUP(B126,$J$1:$O$1,$J$2:$O$27))</f>
        <v>11308</v>
      </c>
    </row>
    <row r="127" spans="1:3" x14ac:dyDescent="0.25">
      <c r="A127" s="6">
        <f t="shared" si="6"/>
        <v>2010</v>
      </c>
      <c r="B127" s="10" t="s">
        <v>7</v>
      </c>
      <c r="C127" s="7" cm="1">
        <f t="array" ref="C127">_xlfn.XLOOKUP(A127,$I$2:$I$27,_xlfn.XLOOKUP(B127,$J$1:$O$1,$J$2:$O$27))</f>
        <v>196964</v>
      </c>
    </row>
    <row r="128" spans="1:3" x14ac:dyDescent="0.25">
      <c r="A128" s="6">
        <f t="shared" si="6"/>
        <v>2011</v>
      </c>
      <c r="B128" s="10" t="s">
        <v>2</v>
      </c>
      <c r="C128" s="7" cm="1">
        <f t="array" ref="C128">_xlfn.XLOOKUP(A128,$I$2:$I$27,_xlfn.XLOOKUP(B128,$J$1:$O$1,$J$2:$O$27))</f>
        <v>359057</v>
      </c>
    </row>
    <row r="129" spans="1:3" x14ac:dyDescent="0.25">
      <c r="A129" s="6">
        <f t="shared" si="6"/>
        <v>2011</v>
      </c>
      <c r="B129" s="10" t="s">
        <v>3</v>
      </c>
      <c r="C129" s="7" cm="1">
        <f t="array" ref="C129">_xlfn.XLOOKUP(A129,$I$2:$I$27,_xlfn.XLOOKUP(B129,$J$1:$O$1,$J$2:$O$27))</f>
        <v>1225384</v>
      </c>
    </row>
    <row r="130" spans="1:3" x14ac:dyDescent="0.25">
      <c r="A130" s="6">
        <f t="shared" si="6"/>
        <v>2011</v>
      </c>
      <c r="B130" s="10" t="s">
        <v>4</v>
      </c>
      <c r="C130" s="7" cm="1">
        <f t="array" ref="C130">_xlfn.XLOOKUP(A130,$I$2:$I$27,_xlfn.XLOOKUP(B130,$J$1:$O$1,$J$2:$O$27))</f>
        <v>596384</v>
      </c>
    </row>
    <row r="131" spans="1:3" x14ac:dyDescent="0.25">
      <c r="A131" s="6">
        <f t="shared" si="6"/>
        <v>2011</v>
      </c>
      <c r="B131" s="10" t="s">
        <v>5</v>
      </c>
      <c r="C131" s="7" cm="1">
        <f t="array" ref="C131">_xlfn.XLOOKUP(A131,$I$2:$I$27,_xlfn.XLOOKUP(B131,$J$1:$O$1,$J$2:$O$27))</f>
        <v>281808</v>
      </c>
    </row>
    <row r="132" spans="1:3" x14ac:dyDescent="0.25">
      <c r="A132" s="6">
        <f t="shared" si="6"/>
        <v>2011</v>
      </c>
      <c r="B132" s="10" t="s">
        <v>6</v>
      </c>
      <c r="C132" s="7" cm="1">
        <f t="array" ref="C132">_xlfn.XLOOKUP(A132,$I$2:$I$27,_xlfn.XLOOKUP(B132,$J$1:$O$1,$J$2:$O$27))</f>
        <v>11587</v>
      </c>
    </row>
    <row r="133" spans="1:3" x14ac:dyDescent="0.25">
      <c r="A133" s="6">
        <f t="shared" si="6"/>
        <v>2011</v>
      </c>
      <c r="B133" s="10" t="s">
        <v>7</v>
      </c>
      <c r="C133" s="7" cm="1">
        <f t="array" ref="C133">_xlfn.XLOOKUP(A133,$I$2:$I$27,_xlfn.XLOOKUP(B133,$J$1:$O$1,$J$2:$O$27))</f>
        <v>204039</v>
      </c>
    </row>
    <row r="134" spans="1:3" x14ac:dyDescent="0.25">
      <c r="A134" s="6">
        <f t="shared" si="6"/>
        <v>2012</v>
      </c>
      <c r="B134" s="10" t="s">
        <v>2</v>
      </c>
      <c r="C134" s="7" cm="1">
        <f t="array" ref="C134">_xlfn.XLOOKUP(A134,$I$2:$I$27,_xlfn.XLOOKUP(B134,$J$1:$O$1,$J$2:$O$27))</f>
        <v>357136</v>
      </c>
    </row>
    <row r="135" spans="1:3" x14ac:dyDescent="0.25">
      <c r="A135" s="6">
        <f t="shared" si="6"/>
        <v>2012</v>
      </c>
      <c r="B135" s="10" t="s">
        <v>3</v>
      </c>
      <c r="C135" s="7" cm="1">
        <f t="array" ref="C135">_xlfn.XLOOKUP(A135,$I$2:$I$27,_xlfn.XLOOKUP(B135,$J$1:$O$1,$J$2:$O$27))</f>
        <v>1230693</v>
      </c>
    </row>
    <row r="136" spans="1:3" x14ac:dyDescent="0.25">
      <c r="A136" s="6">
        <f t="shared" si="6"/>
        <v>2012</v>
      </c>
      <c r="B136" s="10" t="s">
        <v>4</v>
      </c>
      <c r="C136" s="7" cm="1">
        <f t="array" ref="C136">_xlfn.XLOOKUP(A136,$I$2:$I$27,_xlfn.XLOOKUP(B136,$J$1:$O$1,$J$2:$O$27))</f>
        <v>586955</v>
      </c>
    </row>
    <row r="137" spans="1:3" x14ac:dyDescent="0.25">
      <c r="A137" s="6">
        <f t="shared" si="6"/>
        <v>2012</v>
      </c>
      <c r="B137" s="10" t="s">
        <v>5</v>
      </c>
      <c r="C137" s="7" cm="1">
        <f t="array" ref="C137">_xlfn.XLOOKUP(A137,$I$2:$I$27,_xlfn.XLOOKUP(B137,$J$1:$O$1,$J$2:$O$27))</f>
        <v>273301</v>
      </c>
    </row>
    <row r="138" spans="1:3" x14ac:dyDescent="0.25">
      <c r="A138" s="6">
        <f t="shared" si="6"/>
        <v>2012</v>
      </c>
      <c r="B138" s="10" t="s">
        <v>6</v>
      </c>
      <c r="C138" s="7" cm="1">
        <f t="array" ref="C138">_xlfn.XLOOKUP(A138,$I$2:$I$27,_xlfn.XLOOKUP(B138,$J$1:$O$1,$J$2:$O$27))</f>
        <v>11723</v>
      </c>
    </row>
    <row r="139" spans="1:3" x14ac:dyDescent="0.25">
      <c r="A139" s="6">
        <f t="shared" si="6"/>
        <v>2012</v>
      </c>
      <c r="B139" s="10" t="s">
        <v>7</v>
      </c>
      <c r="C139" s="7" cm="1">
        <f t="array" ref="C139">_xlfn.XLOOKUP(A139,$I$2:$I$27,_xlfn.XLOOKUP(B139,$J$1:$O$1,$J$2:$O$27))</f>
        <v>203605</v>
      </c>
    </row>
    <row r="140" spans="1:3" x14ac:dyDescent="0.25">
      <c r="A140" s="6">
        <f t="shared" si="6"/>
        <v>2013</v>
      </c>
      <c r="B140" s="10" t="s">
        <v>2</v>
      </c>
      <c r="C140" s="7" cm="1">
        <f t="array" ref="C140">_xlfn.XLOOKUP(A140,$I$2:$I$27,_xlfn.XLOOKUP(B140,$J$1:$O$1,$J$2:$O$27))</f>
        <v>360104</v>
      </c>
    </row>
    <row r="141" spans="1:3" x14ac:dyDescent="0.25">
      <c r="A141" s="6">
        <f t="shared" si="6"/>
        <v>2013</v>
      </c>
      <c r="B141" s="10" t="s">
        <v>3</v>
      </c>
      <c r="C141" s="7" cm="1">
        <f t="array" ref="C141">_xlfn.XLOOKUP(A141,$I$2:$I$27,_xlfn.XLOOKUP(B141,$J$1:$O$1,$J$2:$O$27))</f>
        <v>1250968</v>
      </c>
    </row>
    <row r="142" spans="1:3" x14ac:dyDescent="0.25">
      <c r="A142" s="6">
        <f t="shared" si="6"/>
        <v>2013</v>
      </c>
      <c r="B142" s="10" t="s">
        <v>4</v>
      </c>
      <c r="C142" s="7" cm="1">
        <f t="array" ref="C142">_xlfn.XLOOKUP(A142,$I$2:$I$27,_xlfn.XLOOKUP(B142,$J$1:$O$1,$J$2:$O$27))</f>
        <v>567384</v>
      </c>
    </row>
    <row r="143" spans="1:3" x14ac:dyDescent="0.25">
      <c r="A143" s="6">
        <f t="shared" si="6"/>
        <v>2013</v>
      </c>
      <c r="B143" s="10" t="s">
        <v>5</v>
      </c>
      <c r="C143" s="7" cm="1">
        <f t="array" ref="C143">_xlfn.XLOOKUP(A143,$I$2:$I$27,_xlfn.XLOOKUP(B143,$J$1:$O$1,$J$2:$O$27))</f>
        <v>254167</v>
      </c>
    </row>
    <row r="144" spans="1:3" x14ac:dyDescent="0.25">
      <c r="A144" s="6">
        <f t="shared" si="6"/>
        <v>2013</v>
      </c>
      <c r="B144" s="10" t="s">
        <v>6</v>
      </c>
      <c r="C144" s="7" cm="1">
        <f t="array" ref="C144">_xlfn.XLOOKUP(A144,$I$2:$I$27,_xlfn.XLOOKUP(B144,$J$1:$O$1,$J$2:$O$27))</f>
        <v>12967</v>
      </c>
    </row>
    <row r="145" spans="1:3" x14ac:dyDescent="0.25">
      <c r="A145" s="6">
        <f t="shared" si="6"/>
        <v>2013</v>
      </c>
      <c r="B145" s="10" t="s">
        <v>7</v>
      </c>
      <c r="C145" s="7" cm="1">
        <f t="array" ref="C145">_xlfn.XLOOKUP(A145,$I$2:$I$27,_xlfn.XLOOKUP(B145,$J$1:$O$1,$J$2:$O$27))</f>
        <v>204015</v>
      </c>
    </row>
    <row r="146" spans="1:3" x14ac:dyDescent="0.25">
      <c r="A146" s="6">
        <f t="shared" si="6"/>
        <v>2014</v>
      </c>
      <c r="B146" s="10" t="s">
        <v>2</v>
      </c>
      <c r="C146" s="7" cm="1">
        <f t="array" ref="C146">_xlfn.XLOOKUP(A146,$I$2:$I$27,_xlfn.XLOOKUP(B146,$J$1:$O$1,$J$2:$O$27))</f>
        <v>361332</v>
      </c>
    </row>
    <row r="147" spans="1:3" x14ac:dyDescent="0.25">
      <c r="A147" s="6">
        <f t="shared" si="6"/>
        <v>2014</v>
      </c>
      <c r="B147" s="10" t="s">
        <v>3</v>
      </c>
      <c r="C147" s="7" cm="1">
        <f t="array" ref="C147">_xlfn.XLOOKUP(A147,$I$2:$I$27,_xlfn.XLOOKUP(B147,$J$1:$O$1,$J$2:$O$27))</f>
        <v>1249317</v>
      </c>
    </row>
    <row r="148" spans="1:3" x14ac:dyDescent="0.25">
      <c r="A148" s="6">
        <f t="shared" si="6"/>
        <v>2014</v>
      </c>
      <c r="B148" s="10" t="s">
        <v>4</v>
      </c>
      <c r="C148" s="7" cm="1">
        <f t="array" ref="C148">_xlfn.XLOOKUP(A148,$I$2:$I$27,_xlfn.XLOOKUP(B148,$J$1:$O$1,$J$2:$O$27))</f>
        <v>538156</v>
      </c>
    </row>
    <row r="149" spans="1:3" x14ac:dyDescent="0.25">
      <c r="A149" s="6">
        <f t="shared" si="6"/>
        <v>2014</v>
      </c>
      <c r="B149" s="10" t="s">
        <v>5</v>
      </c>
      <c r="C149" s="7" cm="1">
        <f t="array" ref="C149">_xlfn.XLOOKUP(A149,$I$2:$I$27,_xlfn.XLOOKUP(B149,$J$1:$O$1,$J$2:$O$27))</f>
        <v>229752</v>
      </c>
    </row>
    <row r="150" spans="1:3" x14ac:dyDescent="0.25">
      <c r="A150" s="6">
        <f t="shared" si="6"/>
        <v>2014</v>
      </c>
      <c r="B150" s="10" t="s">
        <v>6</v>
      </c>
      <c r="C150" s="7" cm="1">
        <f t="array" ref="C150">_xlfn.XLOOKUP(A150,$I$2:$I$27,_xlfn.XLOOKUP(B150,$J$1:$O$1,$J$2:$O$27))</f>
        <v>11924</v>
      </c>
    </row>
    <row r="151" spans="1:3" x14ac:dyDescent="0.25">
      <c r="A151" s="6">
        <f t="shared" si="6"/>
        <v>2014</v>
      </c>
      <c r="B151" s="10" t="s">
        <v>7</v>
      </c>
      <c r="C151" s="7" cm="1">
        <f t="array" ref="C151">_xlfn.XLOOKUP(A151,$I$2:$I$27,_xlfn.XLOOKUP(B151,$J$1:$O$1,$J$2:$O$27))</f>
        <v>212219</v>
      </c>
    </row>
    <row r="152" spans="1:3" x14ac:dyDescent="0.25">
      <c r="A152" s="6">
        <f t="shared" si="6"/>
        <v>2015</v>
      </c>
      <c r="B152" s="10" t="s">
        <v>2</v>
      </c>
      <c r="C152" s="7" cm="1">
        <f t="array" ref="C152">_xlfn.XLOOKUP(A152,$I$2:$I$27,_xlfn.XLOOKUP(B152,$J$1:$O$1,$J$2:$O$27))</f>
        <v>355307</v>
      </c>
    </row>
    <row r="153" spans="1:3" x14ac:dyDescent="0.25">
      <c r="A153" s="6">
        <f t="shared" si="6"/>
        <v>2015</v>
      </c>
      <c r="B153" s="10" t="s">
        <v>3</v>
      </c>
      <c r="C153" s="7" cm="1">
        <f t="array" ref="C153">_xlfn.XLOOKUP(A153,$I$2:$I$27,_xlfn.XLOOKUP(B153,$J$1:$O$1,$J$2:$O$27))</f>
        <v>1238196</v>
      </c>
    </row>
    <row r="154" spans="1:3" x14ac:dyDescent="0.25">
      <c r="A154" s="6">
        <f t="shared" ref="A154:A185" si="7">A136+3</f>
        <v>2015</v>
      </c>
      <c r="B154" s="10" t="s">
        <v>4</v>
      </c>
      <c r="C154" s="7" cm="1">
        <f t="array" ref="C154">_xlfn.XLOOKUP(A154,$I$2:$I$27,_xlfn.XLOOKUP(B154,$J$1:$O$1,$J$2:$O$27))</f>
        <v>503488</v>
      </c>
    </row>
    <row r="155" spans="1:3" x14ac:dyDescent="0.25">
      <c r="A155" s="6">
        <f t="shared" si="7"/>
        <v>2015</v>
      </c>
      <c r="B155" s="10" t="s">
        <v>5</v>
      </c>
      <c r="C155" s="7" cm="1">
        <f t="array" ref="C155">_xlfn.XLOOKUP(A155,$I$2:$I$27,_xlfn.XLOOKUP(B155,$J$1:$O$1,$J$2:$O$27))</f>
        <v>200663</v>
      </c>
    </row>
    <row r="156" spans="1:3" x14ac:dyDescent="0.25">
      <c r="A156" s="6">
        <f t="shared" si="7"/>
        <v>2015</v>
      </c>
      <c r="B156" s="10" t="s">
        <v>6</v>
      </c>
      <c r="C156" s="7" cm="1">
        <f t="array" ref="C156">_xlfn.XLOOKUP(A156,$I$2:$I$27,_xlfn.XLOOKUP(B156,$J$1:$O$1,$J$2:$O$27))</f>
        <v>11409</v>
      </c>
    </row>
    <row r="157" spans="1:3" x14ac:dyDescent="0.25">
      <c r="A157" s="6">
        <f t="shared" si="7"/>
        <v>2015</v>
      </c>
      <c r="B157" s="10" t="s">
        <v>7</v>
      </c>
      <c r="C157" s="7" cm="1">
        <f t="array" ref="C157">_xlfn.XLOOKUP(A157,$I$2:$I$27,_xlfn.XLOOKUP(B157,$J$1:$O$1,$J$2:$O$27))</f>
        <v>228953</v>
      </c>
    </row>
  </sheetData>
  <mergeCells count="1">
    <mergeCell ref="I67:W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3776-12A7-45EF-BAFA-CEAA5C54525F}">
  <dimension ref="A1:L45"/>
  <sheetViews>
    <sheetView topLeftCell="A42" zoomScale="85" zoomScaleNormal="85" workbookViewId="0">
      <selection activeCell="C45" sqref="C45"/>
    </sheetView>
  </sheetViews>
  <sheetFormatPr defaultRowHeight="15" x14ac:dyDescent="0.25"/>
  <cols>
    <col min="1" max="1" width="5" bestFit="1" customWidth="1"/>
    <col min="3" max="3" width="12" bestFit="1" customWidth="1"/>
    <col min="4" max="4" width="14.140625" bestFit="1" customWidth="1"/>
    <col min="5" max="5" width="30.42578125" bestFit="1" customWidth="1"/>
    <col min="6" max="6" width="21.85546875" bestFit="1" customWidth="1"/>
    <col min="7" max="7" width="16.140625" bestFit="1" customWidth="1"/>
    <col min="8" max="8" width="24.85546875" bestFit="1" customWidth="1"/>
  </cols>
  <sheetData>
    <row r="1" spans="1:12" ht="19.5" x14ac:dyDescent="0.3">
      <c r="A1" s="45" t="s">
        <v>39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5" spans="1:12" x14ac:dyDescent="0.25">
      <c r="A5" s="5" t="s">
        <v>0</v>
      </c>
      <c r="B5" s="5" t="s">
        <v>38</v>
      </c>
      <c r="C5" s="26" t="s">
        <v>33</v>
      </c>
      <c r="D5" s="26" t="s">
        <v>43</v>
      </c>
      <c r="E5" s="26" t="s">
        <v>34</v>
      </c>
      <c r="F5" s="26" t="s">
        <v>35</v>
      </c>
      <c r="G5" s="26" t="s">
        <v>36</v>
      </c>
      <c r="H5" s="26" t="s">
        <v>37</v>
      </c>
    </row>
    <row r="6" spans="1:12" x14ac:dyDescent="0.25">
      <c r="A6" s="15">
        <v>1977</v>
      </c>
      <c r="B6" s="7">
        <v>2343180</v>
      </c>
      <c r="C6" s="24"/>
      <c r="D6" s="24"/>
      <c r="E6" s="24"/>
      <c r="F6" s="24"/>
      <c r="G6" s="24"/>
      <c r="H6" s="24"/>
    </row>
    <row r="7" spans="1:12" x14ac:dyDescent="0.25">
      <c r="A7" s="15">
        <v>1978</v>
      </c>
      <c r="B7" s="7">
        <v>2402685</v>
      </c>
      <c r="C7" s="25">
        <f>B6</f>
        <v>2343180</v>
      </c>
      <c r="D7" s="25">
        <f>B7-C7</f>
        <v>59505</v>
      </c>
      <c r="E7" s="24">
        <f>ABS(D7)</f>
        <v>59505</v>
      </c>
      <c r="F7" s="24">
        <f>E7^2</f>
        <v>3540845025</v>
      </c>
      <c r="G7" s="24">
        <f>(D7/B7)*100</f>
        <v>2.4766042989405603</v>
      </c>
      <c r="H7" s="24">
        <f>ABS(G7)</f>
        <v>2.4766042989405603</v>
      </c>
    </row>
    <row r="8" spans="1:12" x14ac:dyDescent="0.25">
      <c r="A8" s="15">
        <v>1979</v>
      </c>
      <c r="B8" s="7">
        <v>2489372</v>
      </c>
      <c r="C8" s="24">
        <f>0.2*B7+0.8*C7</f>
        <v>2355081</v>
      </c>
      <c r="D8" s="25">
        <f t="shared" ref="D8:D44" si="0">B8-C8</f>
        <v>134291</v>
      </c>
      <c r="E8" s="24">
        <f t="shared" ref="E8:E44" si="1">ABS(D8)</f>
        <v>134291</v>
      </c>
      <c r="F8" s="24">
        <f t="shared" ref="F8:F44" si="2">E8^2</f>
        <v>18034072681</v>
      </c>
      <c r="G8" s="24">
        <f t="shared" ref="G8:G44" si="3">(D8/B8)*100</f>
        <v>5.3945734104826437</v>
      </c>
      <c r="H8" s="24">
        <f t="shared" ref="H8:H44" si="4">ABS(G8)</f>
        <v>5.3945734104826437</v>
      </c>
    </row>
    <row r="9" spans="1:12" x14ac:dyDescent="0.25">
      <c r="A9" s="15">
        <v>1980</v>
      </c>
      <c r="B9" s="7">
        <v>2521107</v>
      </c>
      <c r="C9" s="24">
        <f t="shared" ref="C9:C45" si="5">0.2*B8+0.8*C8</f>
        <v>2381939.2000000002</v>
      </c>
      <c r="D9" s="25">
        <f t="shared" si="0"/>
        <v>139167.79999999981</v>
      </c>
      <c r="E9" s="24">
        <f t="shared" si="1"/>
        <v>139167.79999999981</v>
      </c>
      <c r="F9" s="24">
        <f t="shared" si="2"/>
        <v>19367676556.839947</v>
      </c>
      <c r="G9" s="24">
        <f t="shared" si="3"/>
        <v>5.5201068419547372</v>
      </c>
      <c r="H9" s="24">
        <f t="shared" si="4"/>
        <v>5.5201068419547372</v>
      </c>
    </row>
    <row r="10" spans="1:12" x14ac:dyDescent="0.25">
      <c r="A10" s="15">
        <v>1981</v>
      </c>
      <c r="B10" s="7">
        <v>2533721</v>
      </c>
      <c r="C10" s="24">
        <f t="shared" si="5"/>
        <v>2409772.7600000002</v>
      </c>
      <c r="D10" s="25">
        <f t="shared" si="0"/>
        <v>123948.23999999976</v>
      </c>
      <c r="E10" s="24">
        <f t="shared" si="1"/>
        <v>123948.23999999976</v>
      </c>
      <c r="F10" s="24">
        <f t="shared" si="2"/>
        <v>15363166199.09754</v>
      </c>
      <c r="G10" s="24">
        <f t="shared" si="3"/>
        <v>4.8919450878766746</v>
      </c>
      <c r="H10" s="24">
        <f t="shared" si="4"/>
        <v>4.8919450878766746</v>
      </c>
    </row>
    <row r="11" spans="1:12" x14ac:dyDescent="0.25">
      <c r="A11" s="15">
        <v>1982</v>
      </c>
      <c r="B11" s="7">
        <v>2554326</v>
      </c>
      <c r="C11" s="24">
        <f t="shared" si="5"/>
        <v>2434562.4080000003</v>
      </c>
      <c r="D11" s="25">
        <f t="shared" si="0"/>
        <v>119763.59199999971</v>
      </c>
      <c r="E11" s="24">
        <f t="shared" si="1"/>
        <v>119763.59199999971</v>
      </c>
      <c r="F11" s="24">
        <f t="shared" si="2"/>
        <v>14343317968.742395</v>
      </c>
      <c r="G11" s="24">
        <f t="shared" si="3"/>
        <v>4.6886572818034864</v>
      </c>
      <c r="H11" s="24">
        <f t="shared" si="4"/>
        <v>4.6886572818034864</v>
      </c>
    </row>
    <row r="12" spans="1:12" x14ac:dyDescent="0.25">
      <c r="A12" s="15">
        <v>1983</v>
      </c>
      <c r="B12" s="7">
        <v>2553802</v>
      </c>
      <c r="C12" s="24">
        <f t="shared" si="5"/>
        <v>2458515.1264000004</v>
      </c>
      <c r="D12" s="25">
        <f t="shared" si="0"/>
        <v>95286.873599999584</v>
      </c>
      <c r="E12" s="24">
        <f t="shared" si="1"/>
        <v>95286.873599999584</v>
      </c>
      <c r="F12" s="24">
        <f t="shared" si="2"/>
        <v>9079588280.4622974</v>
      </c>
      <c r="G12" s="24">
        <f t="shared" si="3"/>
        <v>3.7311770293859734</v>
      </c>
      <c r="H12" s="24">
        <f t="shared" si="4"/>
        <v>3.7311770293859734</v>
      </c>
    </row>
    <row r="13" spans="1:12" x14ac:dyDescent="0.25">
      <c r="A13" s="15">
        <v>1984</v>
      </c>
      <c r="B13" s="7">
        <v>2562164</v>
      </c>
      <c r="C13" s="24">
        <f t="shared" si="5"/>
        <v>2477572.5011200006</v>
      </c>
      <c r="D13" s="25">
        <f t="shared" si="0"/>
        <v>84591.498879999388</v>
      </c>
      <c r="E13" s="24">
        <f t="shared" si="1"/>
        <v>84591.498879999388</v>
      </c>
      <c r="F13" s="24">
        <f t="shared" si="2"/>
        <v>7155721682.7649374</v>
      </c>
      <c r="G13" s="24">
        <f t="shared" si="3"/>
        <v>3.301564571198385</v>
      </c>
      <c r="H13" s="24">
        <f t="shared" si="4"/>
        <v>3.301564571198385</v>
      </c>
    </row>
    <row r="14" spans="1:12" x14ac:dyDescent="0.25">
      <c r="A14" s="15">
        <v>1985</v>
      </c>
      <c r="B14" s="7">
        <v>2555452</v>
      </c>
      <c r="C14" s="24">
        <f t="shared" si="5"/>
        <v>2494490.8008960006</v>
      </c>
      <c r="D14" s="25">
        <f t="shared" si="0"/>
        <v>60961.199103999417</v>
      </c>
      <c r="E14" s="24">
        <f t="shared" si="1"/>
        <v>60961.199103999417</v>
      </c>
      <c r="F14" s="24">
        <f t="shared" si="2"/>
        <v>3716267796.1974592</v>
      </c>
      <c r="G14" s="24">
        <f t="shared" si="3"/>
        <v>2.3855348918312465</v>
      </c>
      <c r="H14" s="24">
        <f t="shared" si="4"/>
        <v>2.3855348918312465</v>
      </c>
    </row>
    <row r="15" spans="1:12" x14ac:dyDescent="0.25">
      <c r="A15" s="15">
        <v>1986</v>
      </c>
      <c r="B15" s="7">
        <v>2607778</v>
      </c>
      <c r="C15" s="24">
        <f t="shared" si="5"/>
        <v>2506683.0407168004</v>
      </c>
      <c r="D15" s="25">
        <f t="shared" si="0"/>
        <v>101094.95928319963</v>
      </c>
      <c r="E15" s="24">
        <f t="shared" si="1"/>
        <v>101094.95928319963</v>
      </c>
      <c r="F15" s="24">
        <f t="shared" si="2"/>
        <v>10220190792.47179</v>
      </c>
      <c r="G15" s="24">
        <f t="shared" si="3"/>
        <v>3.8766704559667131</v>
      </c>
      <c r="H15" s="24">
        <f t="shared" si="4"/>
        <v>3.8766704559667131</v>
      </c>
    </row>
    <row r="16" spans="1:12" x14ac:dyDescent="0.25">
      <c r="A16" s="15">
        <v>1987</v>
      </c>
      <c r="B16" s="7">
        <v>2668368</v>
      </c>
      <c r="C16" s="24">
        <f t="shared" si="5"/>
        <v>2526902.0325734406</v>
      </c>
      <c r="D16" s="25">
        <f t="shared" si="0"/>
        <v>141465.96742655942</v>
      </c>
      <c r="E16" s="24">
        <f t="shared" si="1"/>
        <v>141465.96742655942</v>
      </c>
      <c r="F16" s="24">
        <f t="shared" si="2"/>
        <v>20012619939.932373</v>
      </c>
      <c r="G16" s="24">
        <f t="shared" si="3"/>
        <v>5.3015913632062528</v>
      </c>
      <c r="H16" s="24">
        <f t="shared" si="4"/>
        <v>5.3015913632062528</v>
      </c>
    </row>
    <row r="17" spans="1:8" x14ac:dyDescent="0.25">
      <c r="A17" s="15">
        <v>1988</v>
      </c>
      <c r="B17" s="7">
        <v>2664824</v>
      </c>
      <c r="C17" s="24">
        <f t="shared" si="5"/>
        <v>2555195.2260587527</v>
      </c>
      <c r="D17" s="25">
        <f t="shared" si="0"/>
        <v>109628.77394124726</v>
      </c>
      <c r="E17" s="24">
        <f t="shared" si="1"/>
        <v>109628.77394124726</v>
      </c>
      <c r="F17" s="24">
        <f t="shared" si="2"/>
        <v>12018468075.861094</v>
      </c>
      <c r="G17" s="24">
        <f t="shared" si="3"/>
        <v>4.1139217427209926</v>
      </c>
      <c r="H17" s="24">
        <f t="shared" si="4"/>
        <v>4.1139217427209926</v>
      </c>
    </row>
    <row r="18" spans="1:8" x14ac:dyDescent="0.25">
      <c r="A18" s="15">
        <v>1989</v>
      </c>
      <c r="B18" s="7">
        <v>2629448</v>
      </c>
      <c r="C18" s="24">
        <f t="shared" si="5"/>
        <v>2577120.980847002</v>
      </c>
      <c r="D18" s="25">
        <f t="shared" si="0"/>
        <v>52327.019152997993</v>
      </c>
      <c r="E18" s="24">
        <f t="shared" si="1"/>
        <v>52327.019152997993</v>
      </c>
      <c r="F18" s="24">
        <f t="shared" si="2"/>
        <v>2738116933.4382186</v>
      </c>
      <c r="G18" s="24">
        <f t="shared" si="3"/>
        <v>1.9900381811314767</v>
      </c>
      <c r="H18" s="24">
        <f t="shared" si="4"/>
        <v>1.9900381811314767</v>
      </c>
    </row>
    <row r="19" spans="1:8" x14ac:dyDescent="0.25">
      <c r="A19" s="15">
        <v>1990</v>
      </c>
      <c r="B19" s="7">
        <v>2643558</v>
      </c>
      <c r="C19" s="24">
        <f t="shared" si="5"/>
        <v>2587586.3846776015</v>
      </c>
      <c r="D19" s="25">
        <f t="shared" si="0"/>
        <v>55971.615322398487</v>
      </c>
      <c r="E19" s="24">
        <f t="shared" si="1"/>
        <v>55971.615322398487</v>
      </c>
      <c r="F19" s="24">
        <f t="shared" si="2"/>
        <v>3132821721.798553</v>
      </c>
      <c r="G19" s="24">
        <f t="shared" si="3"/>
        <v>2.117283423416414</v>
      </c>
      <c r="H19" s="24">
        <f t="shared" si="4"/>
        <v>2.117283423416414</v>
      </c>
    </row>
    <row r="20" spans="1:8" x14ac:dyDescent="0.25">
      <c r="A20" s="15">
        <v>1991</v>
      </c>
      <c r="B20" s="7">
        <v>2649943</v>
      </c>
      <c r="C20" s="24">
        <f t="shared" si="5"/>
        <v>2598780.7077420815</v>
      </c>
      <c r="D20" s="25">
        <f t="shared" si="0"/>
        <v>51162.292257918511</v>
      </c>
      <c r="E20" s="24">
        <f t="shared" si="1"/>
        <v>51162.292257918511</v>
      </c>
      <c r="F20" s="24">
        <f t="shared" si="2"/>
        <v>2617580149.0846682</v>
      </c>
      <c r="G20" s="24">
        <f t="shared" si="3"/>
        <v>1.9306940661711784</v>
      </c>
      <c r="H20" s="24">
        <f t="shared" si="4"/>
        <v>1.9306940661711784</v>
      </c>
    </row>
    <row r="21" spans="1:8" x14ac:dyDescent="0.25">
      <c r="A21" s="15">
        <v>1992</v>
      </c>
      <c r="B21" s="7">
        <v>2626795</v>
      </c>
      <c r="C21" s="24">
        <f t="shared" si="5"/>
        <v>2609013.1661936655</v>
      </c>
      <c r="D21" s="25">
        <f t="shared" si="0"/>
        <v>17781.833806334529</v>
      </c>
      <c r="E21" s="24">
        <f t="shared" si="1"/>
        <v>17781.833806334529</v>
      </c>
      <c r="F21" s="24">
        <f t="shared" si="2"/>
        <v>316193613.51610154</v>
      </c>
      <c r="G21" s="24">
        <f t="shared" si="3"/>
        <v>0.67694029440190528</v>
      </c>
      <c r="H21" s="24">
        <f t="shared" si="4"/>
        <v>0.67694029440190528</v>
      </c>
    </row>
    <row r="22" spans="1:8" x14ac:dyDescent="0.25">
      <c r="A22" s="15">
        <v>1993</v>
      </c>
      <c r="B22" s="7">
        <v>2578540</v>
      </c>
      <c r="C22" s="24">
        <f t="shared" si="5"/>
        <v>2612569.5329549322</v>
      </c>
      <c r="D22" s="25">
        <f t="shared" si="0"/>
        <v>-34029.53295493219</v>
      </c>
      <c r="E22" s="24">
        <f t="shared" si="1"/>
        <v>34029.53295493219</v>
      </c>
      <c r="F22" s="24">
        <f t="shared" si="2"/>
        <v>1158009113.130816</v>
      </c>
      <c r="G22" s="24">
        <f t="shared" si="3"/>
        <v>-1.3197209643803156</v>
      </c>
      <c r="H22" s="24">
        <f t="shared" si="4"/>
        <v>1.3197209643803156</v>
      </c>
    </row>
    <row r="23" spans="1:8" x14ac:dyDescent="0.25">
      <c r="A23" s="15">
        <v>1994</v>
      </c>
      <c r="B23" s="7">
        <v>2633063</v>
      </c>
      <c r="C23" s="24">
        <f t="shared" si="5"/>
        <v>2605763.6263639461</v>
      </c>
      <c r="D23" s="25">
        <f t="shared" si="0"/>
        <v>27299.373636053875</v>
      </c>
      <c r="E23" s="24">
        <f t="shared" si="1"/>
        <v>27299.373636053875</v>
      </c>
      <c r="F23" s="24">
        <f t="shared" si="2"/>
        <v>745255800.9208734</v>
      </c>
      <c r="G23" s="24">
        <f t="shared" si="3"/>
        <v>1.0367915099659171</v>
      </c>
      <c r="H23" s="24">
        <f t="shared" si="4"/>
        <v>1.0367915099659171</v>
      </c>
    </row>
    <row r="24" spans="1:8" x14ac:dyDescent="0.25">
      <c r="A24" s="15">
        <v>1995</v>
      </c>
      <c r="B24" s="7">
        <v>2646555</v>
      </c>
      <c r="C24" s="24">
        <f t="shared" si="5"/>
        <v>2611223.5010911571</v>
      </c>
      <c r="D24" s="25">
        <f t="shared" si="0"/>
        <v>35331.498908842914</v>
      </c>
      <c r="E24" s="24">
        <f t="shared" si="1"/>
        <v>35331.498908842914</v>
      </c>
      <c r="F24" s="24">
        <f t="shared" si="2"/>
        <v>1248314815.1455679</v>
      </c>
      <c r="G24" s="24">
        <f t="shared" si="3"/>
        <v>1.3349996092596947</v>
      </c>
      <c r="H24" s="24">
        <f t="shared" si="4"/>
        <v>1.3349996092596947</v>
      </c>
    </row>
    <row r="25" spans="1:8" x14ac:dyDescent="0.25">
      <c r="A25" s="15">
        <v>1996</v>
      </c>
      <c r="B25" s="7">
        <v>2666459</v>
      </c>
      <c r="C25" s="24">
        <f t="shared" si="5"/>
        <v>2618289.8008729257</v>
      </c>
      <c r="D25" s="25">
        <f t="shared" si="0"/>
        <v>48169.199127074331</v>
      </c>
      <c r="E25" s="24">
        <f t="shared" si="1"/>
        <v>48169.199127074331</v>
      </c>
      <c r="F25" s="24">
        <f t="shared" si="2"/>
        <v>2320271744.5437384</v>
      </c>
      <c r="G25" s="24">
        <f t="shared" si="3"/>
        <v>1.8064856473350739</v>
      </c>
      <c r="H25" s="24">
        <f t="shared" si="4"/>
        <v>1.8064856473350739</v>
      </c>
    </row>
    <row r="26" spans="1:8" x14ac:dyDescent="0.25">
      <c r="A26" s="15">
        <v>1997</v>
      </c>
      <c r="B26" s="7">
        <v>2665829</v>
      </c>
      <c r="C26" s="24">
        <f t="shared" si="5"/>
        <v>2627923.6406983407</v>
      </c>
      <c r="D26" s="25">
        <f t="shared" si="0"/>
        <v>37905.359301659279</v>
      </c>
      <c r="E26" s="24">
        <f t="shared" si="1"/>
        <v>37905.359301659279</v>
      </c>
      <c r="F26" s="24">
        <f t="shared" si="2"/>
        <v>1436816263.7878876</v>
      </c>
      <c r="G26" s="24">
        <f t="shared" si="3"/>
        <v>1.4218976274044313</v>
      </c>
      <c r="H26" s="24">
        <f t="shared" si="4"/>
        <v>1.4218976274044313</v>
      </c>
    </row>
    <row r="27" spans="1:8" x14ac:dyDescent="0.25">
      <c r="A27" s="15">
        <v>1998</v>
      </c>
      <c r="B27" s="7">
        <v>2676966</v>
      </c>
      <c r="C27" s="24">
        <f t="shared" si="5"/>
        <v>2635504.7125586728</v>
      </c>
      <c r="D27" s="25">
        <f t="shared" si="0"/>
        <v>41461.287441327237</v>
      </c>
      <c r="E27" s="24">
        <f t="shared" si="1"/>
        <v>41461.287441327237</v>
      </c>
      <c r="F27" s="24">
        <f t="shared" si="2"/>
        <v>1719038356.2923596</v>
      </c>
      <c r="G27" s="24">
        <f t="shared" si="3"/>
        <v>1.5488163630515754</v>
      </c>
      <c r="H27" s="24">
        <f t="shared" si="4"/>
        <v>1.5488163630515754</v>
      </c>
    </row>
    <row r="28" spans="1:8" x14ac:dyDescent="0.25">
      <c r="A28" s="15">
        <v>1999</v>
      </c>
      <c r="B28" s="7">
        <v>2667219</v>
      </c>
      <c r="C28" s="24">
        <f t="shared" si="5"/>
        <v>2643796.9700469384</v>
      </c>
      <c r="D28" s="25">
        <f t="shared" si="0"/>
        <v>23422.029953061603</v>
      </c>
      <c r="E28" s="24">
        <f t="shared" si="1"/>
        <v>23422.029953061603</v>
      </c>
      <c r="F28" s="24">
        <f t="shared" si="2"/>
        <v>548591487.1221149</v>
      </c>
      <c r="G28" s="24">
        <f t="shared" si="3"/>
        <v>0.87814423761459415</v>
      </c>
      <c r="H28" s="24">
        <f t="shared" si="4"/>
        <v>0.87814423761459415</v>
      </c>
    </row>
    <row r="29" spans="1:8" x14ac:dyDescent="0.25">
      <c r="A29" s="15">
        <v>2000</v>
      </c>
      <c r="B29" s="7">
        <v>2706966</v>
      </c>
      <c r="C29" s="24">
        <f t="shared" si="5"/>
        <v>2648481.3760375511</v>
      </c>
      <c r="D29" s="25">
        <f t="shared" si="0"/>
        <v>58484.62396244891</v>
      </c>
      <c r="E29" s="24">
        <f t="shared" si="1"/>
        <v>58484.62396244891</v>
      </c>
      <c r="F29" s="24">
        <f t="shared" si="2"/>
        <v>3420451240.0290532</v>
      </c>
      <c r="G29" s="24">
        <f t="shared" si="3"/>
        <v>2.1605230343657404</v>
      </c>
      <c r="H29" s="24">
        <f t="shared" si="4"/>
        <v>2.1605230343657404</v>
      </c>
    </row>
    <row r="30" spans="1:8" x14ac:dyDescent="0.25">
      <c r="A30" s="15">
        <v>2001</v>
      </c>
      <c r="B30" s="7">
        <v>2704883</v>
      </c>
      <c r="C30" s="24">
        <f t="shared" si="5"/>
        <v>2660178.3008300411</v>
      </c>
      <c r="D30" s="25">
        <f t="shared" si="0"/>
        <v>44704.699169958942</v>
      </c>
      <c r="E30" s="24">
        <f t="shared" si="1"/>
        <v>44704.699169958942</v>
      </c>
      <c r="F30" s="24">
        <f t="shared" si="2"/>
        <v>1998510127.8765278</v>
      </c>
      <c r="G30" s="24">
        <f t="shared" si="3"/>
        <v>1.6527405869295988</v>
      </c>
      <c r="H30" s="24">
        <f t="shared" si="4"/>
        <v>1.6527405869295988</v>
      </c>
    </row>
    <row r="31" spans="1:8" x14ac:dyDescent="0.25">
      <c r="A31" s="15">
        <v>2002</v>
      </c>
      <c r="B31" s="7">
        <v>2683417</v>
      </c>
      <c r="C31" s="24">
        <f t="shared" si="5"/>
        <v>2669119.2406640332</v>
      </c>
      <c r="D31" s="25">
        <f t="shared" si="0"/>
        <v>14297.759335966781</v>
      </c>
      <c r="E31" s="24">
        <f t="shared" si="1"/>
        <v>14297.759335966781</v>
      </c>
      <c r="F31" s="24">
        <f t="shared" si="2"/>
        <v>204425922.02922523</v>
      </c>
      <c r="G31" s="24">
        <f t="shared" si="3"/>
        <v>0.5328191382840155</v>
      </c>
      <c r="H31" s="24">
        <f t="shared" si="4"/>
        <v>0.5328191382840155</v>
      </c>
    </row>
    <row r="32" spans="1:8" x14ac:dyDescent="0.25">
      <c r="A32" s="15">
        <v>2003</v>
      </c>
      <c r="B32" s="7">
        <v>2698258</v>
      </c>
      <c r="C32" s="24">
        <f t="shared" si="5"/>
        <v>2671978.7925312268</v>
      </c>
      <c r="D32" s="25">
        <f t="shared" si="0"/>
        <v>26279.207468773238</v>
      </c>
      <c r="E32" s="24">
        <f t="shared" si="1"/>
        <v>26279.207468773238</v>
      </c>
      <c r="F32" s="24">
        <f t="shared" si="2"/>
        <v>690596745.18682718</v>
      </c>
      <c r="G32" s="24">
        <f t="shared" si="3"/>
        <v>0.9739323470466219</v>
      </c>
      <c r="H32" s="24">
        <f t="shared" si="4"/>
        <v>0.9739323470466219</v>
      </c>
    </row>
    <row r="33" spans="1:8" x14ac:dyDescent="0.25">
      <c r="A33" s="15">
        <v>2004</v>
      </c>
      <c r="B33" s="7">
        <v>2733795</v>
      </c>
      <c r="C33" s="24">
        <f t="shared" si="5"/>
        <v>2677234.6340249814</v>
      </c>
      <c r="D33" s="25">
        <f t="shared" si="0"/>
        <v>56560.365975018591</v>
      </c>
      <c r="E33" s="24">
        <f t="shared" si="1"/>
        <v>56560.365975018591</v>
      </c>
      <c r="F33" s="24">
        <f t="shared" si="2"/>
        <v>3199074999.2280407</v>
      </c>
      <c r="G33" s="24">
        <f t="shared" si="3"/>
        <v>2.068932234312324</v>
      </c>
      <c r="H33" s="24">
        <f t="shared" si="4"/>
        <v>2.068932234312324</v>
      </c>
    </row>
    <row r="34" spans="1:8" x14ac:dyDescent="0.25">
      <c r="A34" s="15">
        <v>2005</v>
      </c>
      <c r="B34" s="7">
        <v>2707350</v>
      </c>
      <c r="C34" s="24">
        <f t="shared" si="5"/>
        <v>2688546.7072199853</v>
      </c>
      <c r="D34" s="25">
        <f t="shared" si="0"/>
        <v>18803.292780014686</v>
      </c>
      <c r="E34" s="24">
        <f t="shared" si="1"/>
        <v>18803.292780014686</v>
      </c>
      <c r="F34" s="24">
        <f t="shared" si="2"/>
        <v>353563819.37095243</v>
      </c>
      <c r="G34" s="24">
        <f t="shared" si="3"/>
        <v>0.69452759266495601</v>
      </c>
      <c r="H34" s="24">
        <f t="shared" si="4"/>
        <v>0.69452759266495601</v>
      </c>
    </row>
    <row r="35" spans="1:8" x14ac:dyDescent="0.25">
      <c r="A35" s="15">
        <v>2006</v>
      </c>
      <c r="B35" s="7">
        <v>2721462</v>
      </c>
      <c r="C35" s="24">
        <f t="shared" si="5"/>
        <v>2692307.3657759884</v>
      </c>
      <c r="D35" s="25">
        <f t="shared" si="0"/>
        <v>29154.634224011563</v>
      </c>
      <c r="E35" s="24">
        <f t="shared" si="1"/>
        <v>29154.634224011563</v>
      </c>
      <c r="F35" s="24">
        <f t="shared" si="2"/>
        <v>849992696.73590624</v>
      </c>
      <c r="G35" s="24">
        <f t="shared" si="3"/>
        <v>1.0712857362701211</v>
      </c>
      <c r="H35" s="24">
        <f t="shared" si="4"/>
        <v>1.0712857362701211</v>
      </c>
    </row>
    <row r="36" spans="1:8" x14ac:dyDescent="0.25">
      <c r="A36" s="15">
        <v>2007</v>
      </c>
      <c r="B36" s="7">
        <v>2733811</v>
      </c>
      <c r="C36" s="24">
        <f t="shared" si="5"/>
        <v>2698138.2926207907</v>
      </c>
      <c r="D36" s="25">
        <f t="shared" si="0"/>
        <v>35672.707379209343</v>
      </c>
      <c r="E36" s="24">
        <f t="shared" si="1"/>
        <v>35672.707379209343</v>
      </c>
      <c r="F36" s="24">
        <f t="shared" si="2"/>
        <v>1272542051.7626967</v>
      </c>
      <c r="G36" s="24">
        <f t="shared" si="3"/>
        <v>1.3048710162922508</v>
      </c>
      <c r="H36" s="24">
        <f t="shared" si="4"/>
        <v>1.3048710162922508</v>
      </c>
    </row>
    <row r="37" spans="1:8" x14ac:dyDescent="0.25">
      <c r="A37" s="15">
        <v>2008</v>
      </c>
      <c r="B37" s="7">
        <v>2729811</v>
      </c>
      <c r="C37" s="24">
        <f t="shared" si="5"/>
        <v>2705272.8340966329</v>
      </c>
      <c r="D37" s="25">
        <f t="shared" si="0"/>
        <v>24538.165903367102</v>
      </c>
      <c r="E37" s="24">
        <f t="shared" si="1"/>
        <v>24538.165903367102</v>
      </c>
      <c r="F37" s="24">
        <f t="shared" si="2"/>
        <v>602121585.90116787</v>
      </c>
      <c r="G37" s="24">
        <f t="shared" si="3"/>
        <v>0.89889614714597832</v>
      </c>
      <c r="H37" s="24">
        <f t="shared" si="4"/>
        <v>0.89889614714597832</v>
      </c>
    </row>
    <row r="38" spans="1:8" x14ac:dyDescent="0.25">
      <c r="A38" s="15">
        <v>2009</v>
      </c>
      <c r="B38" s="7">
        <v>2741133</v>
      </c>
      <c r="C38" s="24">
        <f t="shared" si="5"/>
        <v>2710180.4672773066</v>
      </c>
      <c r="D38" s="25">
        <f t="shared" si="0"/>
        <v>30952.532722693402</v>
      </c>
      <c r="E38" s="24">
        <f t="shared" si="1"/>
        <v>30952.532722693402</v>
      </c>
      <c r="F38" s="24">
        <f t="shared" si="2"/>
        <v>958059281.94940579</v>
      </c>
      <c r="G38" s="24">
        <f t="shared" si="3"/>
        <v>1.1291875557549891</v>
      </c>
      <c r="H38" s="24">
        <f t="shared" si="4"/>
        <v>1.1291875557549891</v>
      </c>
    </row>
    <row r="39" spans="1:8" x14ac:dyDescent="0.25">
      <c r="A39" s="15">
        <v>2010</v>
      </c>
      <c r="B39" s="7">
        <v>2658344</v>
      </c>
      <c r="C39" s="24">
        <f t="shared" si="5"/>
        <v>2716370.9738218454</v>
      </c>
      <c r="D39" s="25">
        <f t="shared" si="0"/>
        <v>-58026.973821845371</v>
      </c>
      <c r="E39" s="24">
        <f t="shared" si="1"/>
        <v>58026.973821845371</v>
      </c>
      <c r="F39" s="24">
        <f t="shared" si="2"/>
        <v>3367129690.9211278</v>
      </c>
      <c r="G39" s="24">
        <f t="shared" si="3"/>
        <v>-2.1828241123739205</v>
      </c>
      <c r="H39" s="24">
        <f t="shared" si="4"/>
        <v>2.1828241123739205</v>
      </c>
    </row>
    <row r="40" spans="1:8" x14ac:dyDescent="0.25">
      <c r="A40" s="15">
        <v>2011</v>
      </c>
      <c r="B40" s="7">
        <v>2678259</v>
      </c>
      <c r="C40" s="24">
        <f t="shared" si="5"/>
        <v>2704765.5790574765</v>
      </c>
      <c r="D40" s="25">
        <f t="shared" si="0"/>
        <v>-26506.579057476483</v>
      </c>
      <c r="E40" s="24">
        <f t="shared" si="1"/>
        <v>26506.579057476483</v>
      </c>
      <c r="F40" s="24">
        <f t="shared" si="2"/>
        <v>702598733.33025086</v>
      </c>
      <c r="G40" s="24">
        <f t="shared" si="3"/>
        <v>-0.98969438943270549</v>
      </c>
      <c r="H40" s="24">
        <f t="shared" si="4"/>
        <v>0.98969438943270549</v>
      </c>
    </row>
    <row r="41" spans="1:8" x14ac:dyDescent="0.25">
      <c r="A41" s="15">
        <v>2012</v>
      </c>
      <c r="B41" s="7">
        <v>2663413</v>
      </c>
      <c r="C41" s="24">
        <f t="shared" si="5"/>
        <v>2699464.2632459812</v>
      </c>
      <c r="D41" s="25">
        <f t="shared" si="0"/>
        <v>-36051.263245981187</v>
      </c>
      <c r="E41" s="24">
        <f t="shared" si="1"/>
        <v>36051.263245981187</v>
      </c>
      <c r="F41" s="24">
        <f t="shared" si="2"/>
        <v>1299693581.6310339</v>
      </c>
      <c r="G41" s="24">
        <f t="shared" si="3"/>
        <v>-1.3535739010803503</v>
      </c>
      <c r="H41" s="24">
        <f t="shared" si="4"/>
        <v>1.3535739010803503</v>
      </c>
    </row>
    <row r="42" spans="1:8" x14ac:dyDescent="0.25">
      <c r="A42" s="15">
        <v>2013</v>
      </c>
      <c r="B42" s="7">
        <v>2649605</v>
      </c>
      <c r="C42" s="24">
        <f t="shared" si="5"/>
        <v>2692254.0105967852</v>
      </c>
      <c r="D42" s="25">
        <f t="shared" si="0"/>
        <v>-42649.010596785229</v>
      </c>
      <c r="E42" s="24">
        <f t="shared" si="1"/>
        <v>42649.010596785229</v>
      </c>
      <c r="F42" s="24">
        <f t="shared" si="2"/>
        <v>1818938104.8846986</v>
      </c>
      <c r="G42" s="24">
        <f t="shared" si="3"/>
        <v>-1.6096365532517198</v>
      </c>
      <c r="H42" s="24">
        <f t="shared" si="4"/>
        <v>1.6096365532517198</v>
      </c>
    </row>
    <row r="43" spans="1:8" x14ac:dyDescent="0.25">
      <c r="A43" s="15">
        <v>2014</v>
      </c>
      <c r="B43" s="7">
        <v>2602700</v>
      </c>
      <c r="C43" s="24">
        <f>0.2*B42+0.8*C42</f>
        <v>2683724.2084774282</v>
      </c>
      <c r="D43" s="25">
        <f t="shared" si="0"/>
        <v>-81024.208477428183</v>
      </c>
      <c r="E43" s="24">
        <f t="shared" si="1"/>
        <v>81024.208477428183</v>
      </c>
      <c r="F43" s="24">
        <f t="shared" si="2"/>
        <v>6564922359.3937454</v>
      </c>
      <c r="G43" s="24">
        <f t="shared" si="3"/>
        <v>-3.1130828938190409</v>
      </c>
      <c r="H43" s="24">
        <f t="shared" si="4"/>
        <v>3.1130828938190409</v>
      </c>
    </row>
    <row r="44" spans="1:8" x14ac:dyDescent="0.25">
      <c r="A44" s="15">
        <v>2015</v>
      </c>
      <c r="B44" s="7">
        <v>2538016</v>
      </c>
      <c r="C44" s="24">
        <f t="shared" si="5"/>
        <v>2667519.3667819425</v>
      </c>
      <c r="D44" s="25">
        <f t="shared" si="0"/>
        <v>-129503.36678194255</v>
      </c>
      <c r="E44" s="24">
        <f t="shared" si="1"/>
        <v>129503.36678194255</v>
      </c>
      <c r="F44" s="24">
        <f t="shared" si="2"/>
        <v>16771122007.858339</v>
      </c>
      <c r="G44" s="24">
        <f t="shared" si="3"/>
        <v>-5.1025433559891882</v>
      </c>
      <c r="H44" s="24">
        <f t="shared" si="4"/>
        <v>5.1025433559891882</v>
      </c>
    </row>
    <row r="45" spans="1:8" x14ac:dyDescent="0.25">
      <c r="C45" s="24">
        <f t="shared" si="5"/>
        <v>2641618.6934255543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852C-0A54-41F4-9EE0-E51914A2B9EA}">
  <dimension ref="A2:G77"/>
  <sheetViews>
    <sheetView tabSelected="1" topLeftCell="A39" zoomScaleNormal="100" workbookViewId="0">
      <selection activeCell="G45" sqref="E45:G45"/>
    </sheetView>
  </sheetViews>
  <sheetFormatPr defaultRowHeight="15" x14ac:dyDescent="0.25"/>
  <cols>
    <col min="1" max="1" width="5" bestFit="1" customWidth="1"/>
    <col min="2" max="2" width="19.140625" bestFit="1" customWidth="1"/>
    <col min="3" max="3" width="27.7109375" customWidth="1"/>
    <col min="4" max="4" width="21.140625" customWidth="1"/>
    <col min="5" max="5" width="12" bestFit="1" customWidth="1"/>
    <col min="7" max="7" width="11.140625" customWidth="1"/>
  </cols>
  <sheetData>
    <row r="2" spans="1:6" x14ac:dyDescent="0.25">
      <c r="B2" t="s">
        <v>48</v>
      </c>
    </row>
    <row r="3" spans="1:6" x14ac:dyDescent="0.25">
      <c r="B3" s="27" t="s">
        <v>46</v>
      </c>
      <c r="C3" s="27" t="s">
        <v>47</v>
      </c>
      <c r="D3" t="s">
        <v>49</v>
      </c>
    </row>
    <row r="4" spans="1:6" x14ac:dyDescent="0.25">
      <c r="B4">
        <v>0.87584566051406809</v>
      </c>
      <c r="C4">
        <v>0.33160462295798626</v>
      </c>
    </row>
    <row r="5" spans="1:6" x14ac:dyDescent="0.25">
      <c r="A5" s="5" t="s">
        <v>0</v>
      </c>
      <c r="B5" s="5" t="s">
        <v>38</v>
      </c>
      <c r="C5" s="11" t="s">
        <v>40</v>
      </c>
      <c r="D5" s="11" t="s">
        <v>41</v>
      </c>
      <c r="E5" s="11" t="s">
        <v>42</v>
      </c>
      <c r="F5" s="11" t="s">
        <v>44</v>
      </c>
    </row>
    <row r="6" spans="1:6" x14ac:dyDescent="0.25">
      <c r="A6" s="15">
        <v>1977</v>
      </c>
      <c r="B6" s="7">
        <v>2343180</v>
      </c>
      <c r="C6" s="25">
        <f>B6</f>
        <v>2343180</v>
      </c>
      <c r="D6" s="25">
        <f>B7-B6</f>
        <v>59505</v>
      </c>
      <c r="E6" s="24"/>
      <c r="F6" s="24"/>
    </row>
    <row r="7" spans="1:6" x14ac:dyDescent="0.25">
      <c r="A7" s="15">
        <v>1978</v>
      </c>
      <c r="B7" s="7">
        <v>2402685</v>
      </c>
      <c r="C7" s="24">
        <f>$B$4*B7+(1-$B$4)*(C6+D6)</f>
        <v>2402685</v>
      </c>
      <c r="D7" s="24">
        <f>$C$4*(C7-C6)+(1-$C$4)*D6</f>
        <v>59505</v>
      </c>
      <c r="E7" s="25">
        <f>C6+D6</f>
        <v>2402685</v>
      </c>
      <c r="F7" s="24">
        <f>ABS((B7-E7)/B7)*100</f>
        <v>0</v>
      </c>
    </row>
    <row r="8" spans="1:6" x14ac:dyDescent="0.25">
      <c r="A8" s="15">
        <v>1979</v>
      </c>
      <c r="B8" s="7">
        <v>2489372</v>
      </c>
      <c r="C8" s="24">
        <f t="shared" ref="C8:C44" si="0">$B$4*B8+(1-$B$4)*(C7+D7)</f>
        <v>2485997.2367440932</v>
      </c>
      <c r="D8" s="24">
        <f t="shared" ref="D8:D44" si="1">$C$4*(C8-C7)+(1-$C$4)*D7</f>
        <v>67399.589764196557</v>
      </c>
      <c r="E8" s="25">
        <f t="shared" ref="E8:E45" si="2">C7+D7</f>
        <v>2462190</v>
      </c>
      <c r="F8" s="24">
        <f t="shared" ref="F8:F44" si="3">ABS((B8-E8)/B8)*100</f>
        <v>1.0919219787159171</v>
      </c>
    </row>
    <row r="9" spans="1:6" x14ac:dyDescent="0.25">
      <c r="A9" s="15">
        <v>1980</v>
      </c>
      <c r="B9" s="7">
        <v>2521107</v>
      </c>
      <c r="C9" s="24">
        <f t="shared" si="0"/>
        <v>2525115.9220822519</v>
      </c>
      <c r="D9" s="24">
        <f t="shared" si="1"/>
        <v>58021.511115089401</v>
      </c>
      <c r="E9" s="25">
        <f t="shared" si="2"/>
        <v>2553396.8265082897</v>
      </c>
      <c r="F9" s="24">
        <f t="shared" si="3"/>
        <v>1.2807796935350093</v>
      </c>
    </row>
    <row r="10" spans="1:6" x14ac:dyDescent="0.25">
      <c r="A10" s="15">
        <v>1981</v>
      </c>
      <c r="B10" s="7">
        <v>2533721</v>
      </c>
      <c r="C10" s="24">
        <f t="shared" si="0"/>
        <v>2539856.2646233668</v>
      </c>
      <c r="D10" s="24">
        <f t="shared" si="1"/>
        <v>43669.275528935541</v>
      </c>
      <c r="E10" s="25">
        <f t="shared" si="2"/>
        <v>2583137.4331973414</v>
      </c>
      <c r="F10" s="24">
        <f t="shared" si="3"/>
        <v>1.9503502239331556</v>
      </c>
    </row>
    <row r="11" spans="1:6" x14ac:dyDescent="0.25">
      <c r="A11" s="15">
        <v>1982</v>
      </c>
      <c r="B11" s="7">
        <v>2554326</v>
      </c>
      <c r="C11" s="24">
        <f t="shared" si="0"/>
        <v>2557951.2496209019</v>
      </c>
      <c r="D11" s="24">
        <f t="shared" si="1"/>
        <v>35188.722559852504</v>
      </c>
      <c r="E11" s="25">
        <f t="shared" si="2"/>
        <v>2583525.5401523025</v>
      </c>
      <c r="F11" s="24">
        <f t="shared" si="3"/>
        <v>1.1431407013945156</v>
      </c>
    </row>
    <row r="12" spans="1:6" x14ac:dyDescent="0.25">
      <c r="A12" s="15">
        <v>1983</v>
      </c>
      <c r="B12" s="7">
        <v>2553802</v>
      </c>
      <c r="C12" s="24">
        <f t="shared" si="0"/>
        <v>2558685.9799528173</v>
      </c>
      <c r="D12" s="24">
        <f t="shared" si="1"/>
        <v>23763.61945771004</v>
      </c>
      <c r="E12" s="25">
        <f t="shared" si="2"/>
        <v>2593139.9721807544</v>
      </c>
      <c r="F12" s="24">
        <f t="shared" si="3"/>
        <v>1.5403689158656158</v>
      </c>
    </row>
    <row r="13" spans="1:6" x14ac:dyDescent="0.25">
      <c r="A13" s="15">
        <v>1984</v>
      </c>
      <c r="B13" s="7">
        <v>2562164</v>
      </c>
      <c r="C13" s="24">
        <f t="shared" si="0"/>
        <v>2564682.5451958906</v>
      </c>
      <c r="D13" s="24">
        <f t="shared" si="1"/>
        <v>17871.982143791312</v>
      </c>
      <c r="E13" s="25">
        <f t="shared" si="2"/>
        <v>2582449.5994105274</v>
      </c>
      <c r="F13" s="24">
        <f t="shared" si="3"/>
        <v>0.79173696182318487</v>
      </c>
    </row>
    <row r="14" spans="1:6" x14ac:dyDescent="0.25">
      <c r="A14" s="15">
        <v>1985</v>
      </c>
      <c r="B14" s="7">
        <v>2555452</v>
      </c>
      <c r="C14" s="24">
        <f t="shared" si="0"/>
        <v>2558816.8963802578</v>
      </c>
      <c r="D14" s="24">
        <f t="shared" si="1"/>
        <v>10000.473979575658</v>
      </c>
      <c r="E14" s="25">
        <f t="shared" si="2"/>
        <v>2582554.527339682</v>
      </c>
      <c r="F14" s="24">
        <f t="shared" si="3"/>
        <v>1.0605766549198334</v>
      </c>
    </row>
    <row r="15" spans="1:6" x14ac:dyDescent="0.25">
      <c r="A15" s="15">
        <v>1986</v>
      </c>
      <c r="B15" s="7">
        <v>2607778</v>
      </c>
      <c r="C15" s="24">
        <f t="shared" si="0"/>
        <v>2602940.8687610691</v>
      </c>
      <c r="D15" s="24">
        <f t="shared" si="1"/>
        <v>21315.983800924867</v>
      </c>
      <c r="E15" s="25">
        <f t="shared" si="2"/>
        <v>2568817.3703598334</v>
      </c>
      <c r="F15" s="24">
        <f t="shared" si="3"/>
        <v>1.4940163480237447</v>
      </c>
    </row>
    <row r="16" spans="1:6" x14ac:dyDescent="0.25">
      <c r="A16" s="15">
        <v>1987</v>
      </c>
      <c r="B16" s="7">
        <v>2668368</v>
      </c>
      <c r="C16" s="24">
        <f t="shared" si="0"/>
        <v>2662891.4096258678</v>
      </c>
      <c r="D16" s="24">
        <f t="shared" si="1"/>
        <v>34127.381529239552</v>
      </c>
      <c r="E16" s="25">
        <f t="shared" si="2"/>
        <v>2624256.852561994</v>
      </c>
      <c r="F16" s="24">
        <f t="shared" si="3"/>
        <v>1.6531133426126383</v>
      </c>
    </row>
    <row r="17" spans="1:6" x14ac:dyDescent="0.25">
      <c r="A17" s="15">
        <v>1988</v>
      </c>
      <c r="B17" s="7">
        <v>2664824</v>
      </c>
      <c r="C17" s="24">
        <f t="shared" si="0"/>
        <v>2668821.1230307501</v>
      </c>
      <c r="D17" s="24">
        <f t="shared" si="1"/>
        <v>24776.904422567615</v>
      </c>
      <c r="E17" s="25">
        <f t="shared" si="2"/>
        <v>2697018.7911551073</v>
      </c>
      <c r="F17" s="24">
        <f t="shared" si="3"/>
        <v>1.2081394927059843</v>
      </c>
    </row>
    <row r="18" spans="1:6" x14ac:dyDescent="0.25">
      <c r="A18" s="15">
        <v>1989</v>
      </c>
      <c r="B18" s="7">
        <v>2629448</v>
      </c>
      <c r="C18" s="24">
        <f t="shared" si="0"/>
        <v>2637412.5042864713</v>
      </c>
      <c r="D18" s="24">
        <f t="shared" si="1"/>
        <v>6145.5251971283069</v>
      </c>
      <c r="E18" s="25">
        <f t="shared" si="2"/>
        <v>2693598.0274533178</v>
      </c>
      <c r="F18" s="24">
        <f t="shared" si="3"/>
        <v>2.439676595746247</v>
      </c>
    </row>
    <row r="19" spans="1:6" x14ac:dyDescent="0.25">
      <c r="A19" s="15">
        <v>1990</v>
      </c>
      <c r="B19" s="7">
        <v>2643558</v>
      </c>
      <c r="C19" s="24">
        <f t="shared" si="0"/>
        <v>2643558.0036605168</v>
      </c>
      <c r="D19" s="24">
        <f t="shared" si="1"/>
        <v>6145.5166340746764</v>
      </c>
      <c r="E19" s="25">
        <f t="shared" si="2"/>
        <v>2643558.0294835996</v>
      </c>
      <c r="F19" s="24">
        <f t="shared" si="3"/>
        <v>1.1152998946221325E-6</v>
      </c>
    </row>
    <row r="20" spans="1:6" x14ac:dyDescent="0.25">
      <c r="A20" s="15">
        <v>1991</v>
      </c>
      <c r="B20" s="7">
        <v>2649943</v>
      </c>
      <c r="C20" s="24">
        <f t="shared" si="0"/>
        <v>2649913.2675553546</v>
      </c>
      <c r="D20" s="24">
        <f t="shared" si="1"/>
        <v>6215.0697953965064</v>
      </c>
      <c r="E20" s="25">
        <f t="shared" si="2"/>
        <v>2649703.5202945913</v>
      </c>
      <c r="F20" s="24">
        <f t="shared" si="3"/>
        <v>9.0371643997127927E-3</v>
      </c>
    </row>
    <row r="21" spans="1:6" x14ac:dyDescent="0.25">
      <c r="A21" s="15">
        <v>1992</v>
      </c>
      <c r="B21" s="7">
        <v>2626795</v>
      </c>
      <c r="C21" s="24">
        <f t="shared" si="0"/>
        <v>2630436.8611237006</v>
      </c>
      <c r="D21" s="24">
        <f t="shared" si="1"/>
        <v>-2304.3424921086462</v>
      </c>
      <c r="E21" s="25">
        <f t="shared" si="2"/>
        <v>2656128.3373507513</v>
      </c>
      <c r="F21" s="24">
        <f t="shared" si="3"/>
        <v>1.1166968625549871</v>
      </c>
    </row>
    <row r="22" spans="1:6" x14ac:dyDescent="0.25">
      <c r="A22" s="15">
        <v>1993</v>
      </c>
      <c r="B22" s="7">
        <v>2578540</v>
      </c>
      <c r="C22" s="24">
        <f t="shared" si="0"/>
        <v>2584697.1263941489</v>
      </c>
      <c r="D22" s="24">
        <f t="shared" si="1"/>
        <v>-16707.719358038197</v>
      </c>
      <c r="E22" s="25">
        <f t="shared" si="2"/>
        <v>2628132.5186315919</v>
      </c>
      <c r="F22" s="24">
        <f t="shared" si="3"/>
        <v>1.923279011828086</v>
      </c>
    </row>
    <row r="23" spans="1:6" x14ac:dyDescent="0.25">
      <c r="A23" s="15">
        <v>1994</v>
      </c>
      <c r="B23" s="7">
        <v>2633063</v>
      </c>
      <c r="C23" s="24">
        <f t="shared" si="0"/>
        <v>2624983.8310475918</v>
      </c>
      <c r="D23" s="24">
        <f t="shared" si="1"/>
        <v>2191.895126996571</v>
      </c>
      <c r="E23" s="25">
        <f t="shared" si="2"/>
        <v>2567989.4070361108</v>
      </c>
      <c r="F23" s="24">
        <f t="shared" si="3"/>
        <v>2.4714028097272736</v>
      </c>
    </row>
    <row r="24" spans="1:6" x14ac:dyDescent="0.25">
      <c r="A24" s="15">
        <v>1995</v>
      </c>
      <c r="B24" s="7">
        <v>2646555</v>
      </c>
      <c r="C24" s="24">
        <f t="shared" si="0"/>
        <v>2644148.9790584887</v>
      </c>
      <c r="D24" s="24">
        <f t="shared" si="1"/>
        <v>7820.3042499329204</v>
      </c>
      <c r="E24" s="25">
        <f t="shared" si="2"/>
        <v>2627175.7261745883</v>
      </c>
      <c r="F24" s="24">
        <f t="shared" si="3"/>
        <v>0.73224527075430834</v>
      </c>
    </row>
    <row r="25" spans="1:6" x14ac:dyDescent="0.25">
      <c r="A25" s="15">
        <v>1996</v>
      </c>
      <c r="B25" s="7">
        <v>2666459</v>
      </c>
      <c r="C25" s="24">
        <f t="shared" si="0"/>
        <v>2664660.0387948193</v>
      </c>
      <c r="D25" s="24">
        <f t="shared" si="1"/>
        <v>12028.617438051795</v>
      </c>
      <c r="E25" s="25">
        <f t="shared" si="2"/>
        <v>2651969.2833084217</v>
      </c>
      <c r="F25" s="24">
        <f t="shared" si="3"/>
        <v>0.54340669373045947</v>
      </c>
    </row>
    <row r="26" spans="1:6" x14ac:dyDescent="0.25">
      <c r="A26" s="15">
        <v>1997</v>
      </c>
      <c r="B26" s="7">
        <v>2665829</v>
      </c>
      <c r="C26" s="24">
        <f t="shared" si="0"/>
        <v>2667177.2734466363</v>
      </c>
      <c r="D26" s="24">
        <f t="shared" si="1"/>
        <v>8874.5989354133271</v>
      </c>
      <c r="E26" s="25">
        <f t="shared" si="2"/>
        <v>2676688.6562328711</v>
      </c>
      <c r="F26" s="24">
        <f t="shared" si="3"/>
        <v>0.40736507228599872</v>
      </c>
    </row>
    <row r="27" spans="1:6" x14ac:dyDescent="0.25">
      <c r="A27" s="15">
        <v>1998</v>
      </c>
      <c r="B27" s="7">
        <v>2676966</v>
      </c>
      <c r="C27" s="24">
        <f t="shared" si="0"/>
        <v>2676852.5070893876</v>
      </c>
      <c r="D27" s="24">
        <f t="shared" si="1"/>
        <v>9140.0931056672289</v>
      </c>
      <c r="E27" s="25">
        <f t="shared" si="2"/>
        <v>2676051.8723820494</v>
      </c>
      <c r="F27" s="24">
        <f t="shared" si="3"/>
        <v>3.4147897954271783E-2</v>
      </c>
    </row>
    <row r="28" spans="1:6" x14ac:dyDescent="0.25">
      <c r="A28" s="15">
        <v>1999</v>
      </c>
      <c r="B28" s="7">
        <v>2667219</v>
      </c>
      <c r="C28" s="24">
        <f t="shared" si="0"/>
        <v>2669549.8239319902</v>
      </c>
      <c r="D28" s="24">
        <f t="shared" si="1"/>
        <v>3687.592482571144</v>
      </c>
      <c r="E28" s="25">
        <f t="shared" si="2"/>
        <v>2685992.6001950549</v>
      </c>
      <c r="F28" s="24">
        <f t="shared" si="3"/>
        <v>0.70386421943810751</v>
      </c>
    </row>
    <row r="29" spans="1:6" x14ac:dyDescent="0.25">
      <c r="A29" s="15">
        <v>2000</v>
      </c>
      <c r="B29" s="7">
        <v>2706966</v>
      </c>
      <c r="C29" s="24">
        <f t="shared" si="0"/>
        <v>2702778.4499831535</v>
      </c>
      <c r="D29" s="24">
        <f t="shared" si="1"/>
        <v>13483.535780873361</v>
      </c>
      <c r="E29" s="25">
        <f t="shared" si="2"/>
        <v>2673237.4164145612</v>
      </c>
      <c r="F29" s="24">
        <f t="shared" si="3"/>
        <v>1.2459921397401661</v>
      </c>
    </row>
    <row r="30" spans="1:6" x14ac:dyDescent="0.25">
      <c r="A30" s="15">
        <v>2001</v>
      </c>
      <c r="B30" s="7">
        <v>2704883</v>
      </c>
      <c r="C30" s="24">
        <f t="shared" si="0"/>
        <v>2706295.7504615523</v>
      </c>
      <c r="D30" s="24">
        <f t="shared" si="1"/>
        <v>10178.686081085711</v>
      </c>
      <c r="E30" s="25">
        <f t="shared" si="2"/>
        <v>2716261.9857640266</v>
      </c>
      <c r="F30" s="24">
        <f t="shared" si="3"/>
        <v>0.42068310400215619</v>
      </c>
    </row>
    <row r="31" spans="1:6" x14ac:dyDescent="0.25">
      <c r="A31" s="15">
        <v>2002</v>
      </c>
      <c r="B31" s="7">
        <v>2683417</v>
      </c>
      <c r="C31" s="24">
        <f t="shared" si="0"/>
        <v>2687521.2241990496</v>
      </c>
      <c r="D31" s="24">
        <f t="shared" si="1"/>
        <v>577.66701846757769</v>
      </c>
      <c r="E31" s="25">
        <f t="shared" si="2"/>
        <v>2716474.4365426381</v>
      </c>
      <c r="F31" s="24">
        <f t="shared" si="3"/>
        <v>1.2319157455825209</v>
      </c>
    </row>
    <row r="32" spans="1:6" x14ac:dyDescent="0.25">
      <c r="A32" s="15">
        <v>2003</v>
      </c>
      <c r="B32" s="7">
        <v>2698258</v>
      </c>
      <c r="C32" s="24">
        <f t="shared" si="0"/>
        <v>2696996.7025593449</v>
      </c>
      <c r="D32" s="24">
        <f t="shared" si="1"/>
        <v>3528.2223936256519</v>
      </c>
      <c r="E32" s="25">
        <f t="shared" si="2"/>
        <v>2688098.8912175172</v>
      </c>
      <c r="F32" s="24">
        <f t="shared" si="3"/>
        <v>0.37650620446535504</v>
      </c>
    </row>
    <row r="33" spans="1:7" x14ac:dyDescent="0.25">
      <c r="A33" s="15">
        <v>2004</v>
      </c>
      <c r="B33" s="7">
        <v>2733795</v>
      </c>
      <c r="C33" s="24">
        <f t="shared" si="0"/>
        <v>2729664.3758078888</v>
      </c>
      <c r="D33" s="24">
        <f t="shared" si="1"/>
        <v>13190.999007573577</v>
      </c>
      <c r="E33" s="25">
        <f t="shared" si="2"/>
        <v>2700524.9249529708</v>
      </c>
      <c r="F33" s="24">
        <f t="shared" si="3"/>
        <v>1.2169923146040278</v>
      </c>
    </row>
    <row r="34" spans="1:7" x14ac:dyDescent="0.25">
      <c r="A34" s="15">
        <v>2005</v>
      </c>
      <c r="B34" s="7">
        <v>2707350</v>
      </c>
      <c r="C34" s="24">
        <f t="shared" si="0"/>
        <v>2711758.1463584141</v>
      </c>
      <c r="D34" s="24">
        <f t="shared" si="1"/>
        <v>2879.014290035715</v>
      </c>
      <c r="E34" s="25">
        <f t="shared" si="2"/>
        <v>2742855.3748154622</v>
      </c>
      <c r="F34" s="24">
        <f t="shared" si="3"/>
        <v>1.3114438404883801</v>
      </c>
    </row>
    <row r="35" spans="1:7" x14ac:dyDescent="0.25">
      <c r="A35" s="15">
        <v>2006</v>
      </c>
      <c r="B35" s="7">
        <v>2721462</v>
      </c>
      <c r="C35" s="24">
        <f t="shared" si="0"/>
        <v>2720614.6665782109</v>
      </c>
      <c r="D35" s="24">
        <f t="shared" si="1"/>
        <v>4861.1828901032677</v>
      </c>
      <c r="E35" s="25">
        <f t="shared" si="2"/>
        <v>2714637.1606484498</v>
      </c>
      <c r="F35" s="24">
        <f t="shared" si="3"/>
        <v>0.25077841805434764</v>
      </c>
    </row>
    <row r="36" spans="1:7" x14ac:dyDescent="0.25">
      <c r="A36" s="15">
        <v>2007</v>
      </c>
      <c r="B36" s="7">
        <v>2733811</v>
      </c>
      <c r="C36" s="24">
        <f t="shared" si="0"/>
        <v>2732776.1548912227</v>
      </c>
      <c r="D36" s="24">
        <f t="shared" si="1"/>
        <v>7281.9979173450029</v>
      </c>
      <c r="E36" s="25">
        <f t="shared" si="2"/>
        <v>2725475.8494683141</v>
      </c>
      <c r="F36" s="24">
        <f t="shared" si="3"/>
        <v>0.30489125004200768</v>
      </c>
    </row>
    <row r="37" spans="1:7" x14ac:dyDescent="0.25">
      <c r="A37" s="15">
        <v>2008</v>
      </c>
      <c r="B37" s="7">
        <v>2729811</v>
      </c>
      <c r="C37" s="24">
        <f t="shared" si="0"/>
        <v>2731083.2284885589</v>
      </c>
      <c r="D37" s="24">
        <f t="shared" si="1"/>
        <v>4305.8715221320181</v>
      </c>
      <c r="E37" s="25">
        <f t="shared" si="2"/>
        <v>2740058.1528085675</v>
      </c>
      <c r="F37" s="24">
        <f t="shared" si="3"/>
        <v>0.37537957054783316</v>
      </c>
    </row>
    <row r="38" spans="1:7" x14ac:dyDescent="0.25">
      <c r="A38" s="15">
        <v>2009</v>
      </c>
      <c r="B38" s="7">
        <v>2741133</v>
      </c>
      <c r="C38" s="24">
        <f t="shared" si="0"/>
        <v>2740419.8698907541</v>
      </c>
      <c r="D38" s="24">
        <f t="shared" si="1"/>
        <v>5974.0980713987656</v>
      </c>
      <c r="E38" s="25">
        <f t="shared" si="2"/>
        <v>2735389.1000106907</v>
      </c>
      <c r="F38" s="24">
        <f t="shared" si="3"/>
        <v>0.20954473895682021</v>
      </c>
    </row>
    <row r="39" spans="1:7" x14ac:dyDescent="0.25">
      <c r="A39" s="15">
        <v>2010</v>
      </c>
      <c r="B39" s="7">
        <v>2658344</v>
      </c>
      <c r="C39" s="24">
        <f t="shared" si="0"/>
        <v>2669275.7856140984</v>
      </c>
      <c r="D39" s="24">
        <f t="shared" si="1"/>
        <v>-19598.647709333061</v>
      </c>
      <c r="E39" s="25">
        <f t="shared" si="2"/>
        <v>2746393.9679621528</v>
      </c>
      <c r="F39" s="24">
        <f t="shared" si="3"/>
        <v>3.3122112097664109</v>
      </c>
    </row>
    <row r="40" spans="1:7" x14ac:dyDescent="0.25">
      <c r="A40" s="15">
        <v>2011</v>
      </c>
      <c r="B40" s="7">
        <v>2678259</v>
      </c>
      <c r="C40" s="24">
        <f t="shared" si="0"/>
        <v>2674710.4377902881</v>
      </c>
      <c r="D40" s="24">
        <f t="shared" si="1"/>
        <v>-11297.489739400084</v>
      </c>
      <c r="E40" s="25">
        <f t="shared" si="2"/>
        <v>2649677.1379047656</v>
      </c>
      <c r="F40" s="24">
        <f t="shared" si="3"/>
        <v>1.0671806608410332</v>
      </c>
    </row>
    <row r="41" spans="1:7" x14ac:dyDescent="0.25">
      <c r="A41" s="15">
        <v>2012</v>
      </c>
      <c r="B41" s="7">
        <v>2663413</v>
      </c>
      <c r="C41" s="24">
        <f t="shared" si="0"/>
        <v>2663412.9935502927</v>
      </c>
      <c r="D41" s="24">
        <f t="shared" si="1"/>
        <v>-11297.474651587163</v>
      </c>
      <c r="E41" s="25">
        <f t="shared" si="2"/>
        <v>2663412.9480508883</v>
      </c>
      <c r="F41" s="24">
        <f t="shared" si="3"/>
        <v>1.9504715094790582E-6</v>
      </c>
    </row>
    <row r="42" spans="1:7" x14ac:dyDescent="0.25">
      <c r="A42" s="15">
        <v>2013</v>
      </c>
      <c r="B42" s="7">
        <v>2649605</v>
      </c>
      <c r="C42" s="24">
        <f t="shared" si="0"/>
        <v>2649916.6918156361</v>
      </c>
      <c r="D42" s="24">
        <f t="shared" si="1"/>
        <v>-12026.615877418199</v>
      </c>
      <c r="E42" s="25">
        <f t="shared" si="2"/>
        <v>2652115.5188987055</v>
      </c>
      <c r="F42" s="24">
        <f t="shared" si="3"/>
        <v>9.4750685430676884E-2</v>
      </c>
    </row>
    <row r="43" spans="1:7" x14ac:dyDescent="0.25">
      <c r="A43" s="15">
        <v>2014</v>
      </c>
      <c r="B43" s="7">
        <v>2602700</v>
      </c>
      <c r="C43" s="24">
        <f t="shared" si="0"/>
        <v>2607069.0006345692</v>
      </c>
      <c r="D43" s="24">
        <f t="shared" si="1"/>
        <v>-22247.02693264433</v>
      </c>
      <c r="E43" s="25">
        <f t="shared" si="2"/>
        <v>2637890.0759382178</v>
      </c>
      <c r="F43" s="24">
        <f t="shared" si="3"/>
        <v>1.3520603964428404</v>
      </c>
    </row>
    <row r="44" spans="1:7" x14ac:dyDescent="0.25">
      <c r="A44" s="15">
        <v>2015</v>
      </c>
      <c r="B44" s="7">
        <v>2538016</v>
      </c>
      <c r="C44" s="24">
        <f t="shared" si="0"/>
        <v>2543827.1647489583</v>
      </c>
      <c r="D44" s="24">
        <f t="shared" si="1"/>
        <v>-35841.095098727485</v>
      </c>
      <c r="E44" s="25">
        <f t="shared" si="2"/>
        <v>2584821.973701925</v>
      </c>
      <c r="F44" s="28">
        <f t="shared" si="3"/>
        <v>1.8441953755187128</v>
      </c>
    </row>
    <row r="45" spans="1:7" x14ac:dyDescent="0.25">
      <c r="E45" s="25">
        <f t="shared" si="2"/>
        <v>2507986.0696502309</v>
      </c>
      <c r="F45" s="11">
        <f>AVERAGE(F7:F44)</f>
        <v>1.0055209113737826</v>
      </c>
      <c r="G45" s="11" t="s">
        <v>45</v>
      </c>
    </row>
    <row r="74" spans="2:4" x14ac:dyDescent="0.25">
      <c r="B74" t="s">
        <v>50</v>
      </c>
      <c r="C74" t="s">
        <v>51</v>
      </c>
      <c r="D74" t="s">
        <v>52</v>
      </c>
    </row>
    <row r="75" spans="2:4" ht="105" x14ac:dyDescent="0.25">
      <c r="B75" t="s">
        <v>53</v>
      </c>
      <c r="C75" s="29" t="s">
        <v>54</v>
      </c>
      <c r="D75" s="29" t="s">
        <v>55</v>
      </c>
    </row>
    <row r="76" spans="2:4" ht="135" x14ac:dyDescent="0.25">
      <c r="B76" t="s">
        <v>56</v>
      </c>
      <c r="C76" s="29" t="s">
        <v>57</v>
      </c>
      <c r="D76" s="29" t="s">
        <v>58</v>
      </c>
    </row>
    <row r="77" spans="2:4" ht="90" x14ac:dyDescent="0.25">
      <c r="B77" t="s">
        <v>59</v>
      </c>
      <c r="C77" s="30" t="s">
        <v>61</v>
      </c>
      <c r="D77" s="30" t="s">
        <v>60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 1 Data Table</vt:lpstr>
      <vt:lpstr>Milk Comparison</vt:lpstr>
      <vt:lpstr>Distribution</vt:lpstr>
      <vt:lpstr>Predict vs Actual (Expo)</vt:lpstr>
      <vt:lpstr>Predict (Double Expo)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Weesam Abouelnasr</dc:creator>
  <cp:lastModifiedBy>Khang Nguyen</cp:lastModifiedBy>
  <dcterms:created xsi:type="dcterms:W3CDTF">2026-01-30T01:23:04Z</dcterms:created>
  <dcterms:modified xsi:type="dcterms:W3CDTF">2026-03-09T11:25:50Z</dcterms:modified>
</cp:coreProperties>
</file>